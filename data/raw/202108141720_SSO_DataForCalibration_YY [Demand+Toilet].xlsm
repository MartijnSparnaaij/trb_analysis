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6BE1CDB9-6C1C-A5B6-3FC1-E231EC3C600E}"/>
  <workbookPr codeName="ThisWorkbook"/>
  <mc:AlternateContent xmlns:mc="http://schemas.openxmlformats.org/markup-compatibility/2006">
    <mc:Choice Requires="x15">
      <x15ac:absPath xmlns:x15ac="http://schemas.microsoft.com/office/spreadsheetml/2010/11/ac" url="C:\Users\martijnsparnaa\Jupyterlab_notebooks\trb_analysis\data\raw\"/>
    </mc:Choice>
  </mc:AlternateContent>
  <bookViews>
    <workbookView xWindow="1005" yWindow="465" windowWidth="33660" windowHeight="19620"/>
  </bookViews>
  <sheets>
    <sheet name="Customer demand (all the time)" sheetId="6" r:id="rId1"/>
    <sheet name="Toilet visit" sheetId="8" r:id="rId2"/>
    <sheet name="Toilet visit-Backup" sheetId="12" r:id="rId3"/>
    <sheet name="Staff table visit (Staff)" sheetId="7" r:id="rId4"/>
    <sheet name="Routing info" sheetId="9" r:id="rId5"/>
    <sheet name="Data collection for Restaurant" sheetId="5" r:id="rId6"/>
    <sheet name="Cashier (Guest)-N.A." sheetId="10" r:id="rId7"/>
    <sheet name="Coat rack (Guest)-N.A." sheetId="11" r:id="rId8"/>
  </sheet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E34" i="6" l="1"/>
  <c r="M48" i="9"/>
</calcChain>
</file>

<file path=xl/sharedStrings.xml><?xml version="1.0" encoding="utf-8"?>
<sst xmlns="http://schemas.openxmlformats.org/spreadsheetml/2006/main" count="635" uniqueCount="233">
  <si>
    <t>Restaurant layout</t>
  </si>
  <si>
    <t xml:space="preserve">Staff table visit frequency </t>
  </si>
  <si>
    <t>Mainly for NOMAD tactical level (routing and scheduling)</t>
  </si>
  <si>
    <t>Staff</t>
  </si>
  <si>
    <t>Taking order duration</t>
  </si>
  <si>
    <t>Serve order duration</t>
  </si>
  <si>
    <t>Check-out duration</t>
  </si>
  <si>
    <t>Cleaning duration</t>
  </si>
  <si>
    <t>Duration of food collection at the kitchen</t>
  </si>
  <si>
    <t>Toilet vist frequency</t>
  </si>
  <si>
    <t>Toilet vist duration</t>
  </si>
  <si>
    <t>Staff demand</t>
  </si>
  <si>
    <t>Number of staff during the observation sessions (lunch/dinner slots)</t>
  </si>
  <si>
    <t>Customers</t>
  </si>
  <si>
    <t>Customer demand</t>
  </si>
  <si>
    <t>Group ID</t>
  </si>
  <si>
    <t>Arrival time</t>
  </si>
  <si>
    <t>Departure time</t>
  </si>
  <si>
    <t>No. of Customers</t>
  </si>
  <si>
    <t>Prob: 0.6</t>
  </si>
  <si>
    <t>Default value in Nomad</t>
  </si>
  <si>
    <t>100 ～ 240 s</t>
  </si>
  <si>
    <t>Dist Para: 20</t>
  </si>
  <si>
    <t>Table ID</t>
  </si>
  <si>
    <t>Visit type</t>
  </si>
  <si>
    <t>Staff table visit activity</t>
  </si>
  <si>
    <t>VisitDurationDistr: 900~1500s</t>
  </si>
  <si>
    <t>20 ～ 50 s</t>
  </si>
  <si>
    <t>60s ~ 180s</t>
  </si>
  <si>
    <t>150s</t>
  </si>
  <si>
    <t>30s</t>
  </si>
  <si>
    <t>2 times per table</t>
  </si>
  <si>
    <t>Taking order/ Serving order/ Check-out/ Cleaning / checking for feedback|tasting, etc.</t>
  </si>
  <si>
    <t>120 s</t>
  </si>
  <si>
    <t>Toilet visit activity</t>
  </si>
  <si>
    <t>People ID</t>
  </si>
  <si>
    <t>Guest/Staff</t>
  </si>
  <si>
    <t>Toilet ID (If there are multiple ones)</t>
  </si>
  <si>
    <t>Customer ID</t>
  </si>
  <si>
    <t>Customer/Group ID</t>
  </si>
  <si>
    <t>Walking style</t>
  </si>
  <si>
    <t>relaxing, lazy, rush</t>
  </si>
  <si>
    <t>Which side of table to pass</t>
  </si>
  <si>
    <t>5 times</t>
  </si>
  <si>
    <t>Duration (calculated later)</t>
  </si>
  <si>
    <t>NB. Table ID, Toilet/Rack/Reception locations are referred to the restaurant map</t>
  </si>
  <si>
    <t>Example - data collection tables</t>
  </si>
  <si>
    <t>Assigned table ID</t>
  </si>
  <si>
    <t>Routing information - draw routes on graphs/maps</t>
  </si>
  <si>
    <t xml:space="preserve">Which restaurant - </t>
  </si>
  <si>
    <t>How many tables to observe at the same time + for one student</t>
  </si>
  <si>
    <t>Customer demand over time + visit duration</t>
  </si>
  <si>
    <t>Picture taken</t>
  </si>
  <si>
    <t>Cashier visit duration</t>
  </si>
  <si>
    <t>Location of the standstill points</t>
  </si>
  <si>
    <t>Drawing/maps</t>
  </si>
  <si>
    <t>Percentage of a specific alternative route (left or right) (main route and narrow-width route)</t>
  </si>
  <si>
    <t>If there are alternative routes - which property to consider?</t>
  </si>
  <si>
    <t>Route ID (to be identified first in the map)</t>
  </si>
  <si>
    <t>Customer coat rack visit activity @ Martijn, how this is relevant in a real restaurant?</t>
  </si>
  <si>
    <t>Property of the route</t>
  </si>
  <si>
    <t>Main route/ narrow width route</t>
  </si>
  <si>
    <t xml:space="preserve">Customer cashier visit activity </t>
  </si>
  <si>
    <t>Relation with relevant variables</t>
  </si>
  <si>
    <t>Rack location (indicated in the map already)</t>
  </si>
  <si>
    <t>Cashier location (indicated in the map already)</t>
  </si>
  <si>
    <t>For a selected time period - focus on specific data type [Otherwise - overwhelming for students to record, and resulting in crappy data]</t>
  </si>
  <si>
    <t>The two observers might focus on different tables or regions of the restaurants. E.g., Student A will look at the region 1 (tables A_B_C_D) for staff table visit, toilet visit, and the related routing information (for the customer sitting in this region, and the staff members serving this region)</t>
  </si>
  <si>
    <t>(Might add names of staff members)</t>
  </si>
  <si>
    <t>Day 1 date</t>
  </si>
  <si>
    <t>Session 1 start:</t>
  </si>
  <si>
    <t>SSO-ZonWm project</t>
  </si>
  <si>
    <t>https://www.zonmw.nl/nl/over-zonmw/coronavirus/programmas/project-detail/covid-19-programma/samenslimopen-data-driven-simulation-games-for-the-evaluation-and-prevention-of-sars-cov-2-transmi/verslagen/</t>
  </si>
  <si>
    <t>For the four time slots - take the pictures of the restaurants (the layout + the front gate)</t>
  </si>
  <si>
    <t>Analysis: based on all the samples - we can derive the average visit duration</t>
  </si>
  <si>
    <t>Analysis: based on the full list - we can derive the average demand per unit of time + visit duration distribution</t>
  </si>
  <si>
    <t>Customer demand over time + visit duration (distr.)</t>
  </si>
  <si>
    <t>Relation</t>
  </si>
  <si>
    <t>CoatRack visit duration (pending)</t>
  </si>
  <si>
    <t>Type (Guest or Staff)</t>
  </si>
  <si>
    <t>People/sample ID</t>
  </si>
  <si>
    <t>Table (along the route) occupied or not</t>
  </si>
  <si>
    <t>Practical issue - size of restaurant + For students: which tables to focus on + task distribution</t>
  </si>
  <si>
    <t>DCD: Per time period - focus on specific data type [Otherwise - overwhelming for students to record, and resulting in crappy data]</t>
  </si>
  <si>
    <t>Required information from route choice data</t>
  </si>
  <si>
    <t>A restaurant map will be drawn with table ID + routing ID + location of cashier + location of toilet(s) + location of coat rack (if applicable)</t>
  </si>
  <si>
    <t>Serving (order) frequency</t>
  </si>
  <si>
    <t xml:space="preserve">Session 1 end: </t>
  </si>
  <si>
    <t>Day 2 date</t>
  </si>
  <si>
    <t>Session 2 start:</t>
  </si>
  <si>
    <t xml:space="preserve">Session 2 end: </t>
  </si>
  <si>
    <t>Session 3 start:</t>
  </si>
  <si>
    <t xml:space="preserve">Session 3 end: </t>
  </si>
  <si>
    <t>Session 4 start:</t>
  </si>
  <si>
    <t xml:space="preserve">Session 4 end: </t>
  </si>
  <si>
    <t>No. of total staff:</t>
  </si>
  <si>
    <t>S</t>
  </si>
  <si>
    <t>Staff ID (names with initials)</t>
  </si>
  <si>
    <t>Visit type (Taking order - O/ Serving order-S/ Check-out&amp;Pay - P/ Cleaning - C / checking for feedback|tasting - F)</t>
  </si>
  <si>
    <t>Type (Guest - G or Staff - S)</t>
  </si>
  <si>
    <t>G</t>
  </si>
  <si>
    <t>Toilet location is indicated in the map</t>
  </si>
  <si>
    <t>Route 1:</t>
  </si>
  <si>
    <t>Route 2:</t>
  </si>
  <si>
    <t>Walking style (Relaxing-X, Rush-R)</t>
  </si>
  <si>
    <t>R</t>
  </si>
  <si>
    <t>Y</t>
  </si>
  <si>
    <t>Table (along the route) occupied or not (Y or N)</t>
  </si>
  <si>
    <t>Main route from the gate to the toilet</t>
  </si>
  <si>
    <t>Route 3:</t>
  </si>
  <si>
    <t>Narrow route from the gate to the toilet</t>
  </si>
  <si>
    <t>Route 4:</t>
  </si>
  <si>
    <t>Main route from the kitchen to the talbe</t>
  </si>
  <si>
    <t>Narrow route from the kitchen to the table</t>
  </si>
  <si>
    <t>Cashier location is indicated in the map</t>
  </si>
  <si>
    <t>B</t>
  </si>
  <si>
    <t>From which assigned table</t>
  </si>
  <si>
    <t>D</t>
  </si>
  <si>
    <t>Customer/Sample ID</t>
  </si>
  <si>
    <t>Coat rack location is indicated in the map</t>
  </si>
  <si>
    <r>
      <t xml:space="preserve">The students will need to draw the map of the selected restaurant - print out several paper copies for route recording, YY and MS will identify the possibles routes with ID and properties, also assign Tables with IDs, and identify the locations of cashier, </t>
    </r>
    <r>
      <rPr>
        <sz val="12"/>
        <color rgb="FFFF0000"/>
        <rFont val="Calibri (Body)"/>
      </rPr>
      <t>toilet(s)</t>
    </r>
    <r>
      <rPr>
        <sz val="12"/>
        <color theme="1"/>
        <rFont val="Calibri"/>
        <family val="2"/>
        <scheme val="minor"/>
      </rPr>
      <t>, coat racks, ...</t>
    </r>
  </si>
  <si>
    <t xml:space="preserve">Add: drawing  of actual individual routes </t>
  </si>
  <si>
    <t>Route choice set?  -  pre-print 100 copies of the maps</t>
  </si>
  <si>
    <t>Staff hand occupied or not</t>
  </si>
  <si>
    <t>N (Indicated in the map with cross)</t>
  </si>
  <si>
    <t>Sample No.</t>
  </si>
  <si>
    <t>X (indicate in the map)</t>
  </si>
  <si>
    <t>na.</t>
  </si>
  <si>
    <t>Total no. of Customers (approximatey)</t>
  </si>
  <si>
    <t>Terrace</t>
  </si>
  <si>
    <t>Inside</t>
  </si>
  <si>
    <t xml:space="preserve">Slot 2 -  Staff visiting </t>
  </si>
  <si>
    <t>Slot 3 - routing - map drawing</t>
  </si>
  <si>
    <t>Guest Demand per time unit + total no. of guests in the region - keep tracking all the time</t>
  </si>
  <si>
    <t>11:00-11:30</t>
  </si>
  <si>
    <t>Staff visiting</t>
  </si>
  <si>
    <t>11:30-12:00</t>
  </si>
  <si>
    <t>routing</t>
  </si>
  <si>
    <t>12:00-12:30</t>
  </si>
  <si>
    <t>12:30:13:00</t>
  </si>
  <si>
    <t>13:00-13:30</t>
  </si>
  <si>
    <t>13:30-14:00</t>
  </si>
  <si>
    <t>17:00 - 17:30</t>
  </si>
  <si>
    <t>Slot 1 (e.g., 30min): Toilet visit</t>
  </si>
  <si>
    <t>18:00 - 18:30</t>
  </si>
  <si>
    <t>18:30 - 19:00</t>
  </si>
  <si>
    <t>19:00 - 19:30</t>
  </si>
  <si>
    <t>19:30 - 20:00</t>
  </si>
  <si>
    <t>20:00 - 20:30</t>
  </si>
  <si>
    <t>short break in between</t>
  </si>
  <si>
    <t>20:30 - 21:00</t>
  </si>
  <si>
    <t>21:00 - 21:30</t>
  </si>
  <si>
    <t>21:30 - 22:00</t>
  </si>
  <si>
    <t>Day 1  Lunch - 3 hours</t>
  </si>
  <si>
    <t>Day 2  Dinner - 5 hours</t>
  </si>
  <si>
    <t>Tracking total demand/no.of guest</t>
  </si>
  <si>
    <t>Staff ID (names or name initials)</t>
  </si>
  <si>
    <t>Toilet visiting</t>
  </si>
  <si>
    <t>Active ppl</t>
  </si>
  <si>
    <t>short break</t>
  </si>
  <si>
    <t>17:30 - 18:00</t>
  </si>
  <si>
    <t>NB: Separate the activities (arrival or departure)</t>
  </si>
  <si>
    <t>No. of guests at the table at the moment</t>
  </si>
  <si>
    <t>For a selected time period - focus on specific data type</t>
  </si>
  <si>
    <t>NB: first talk with the staff member - to know who they are</t>
  </si>
  <si>
    <t>S+O</t>
  </si>
  <si>
    <t>L</t>
  </si>
  <si>
    <t>Outside</t>
  </si>
  <si>
    <t>Toilet visiting + Routing</t>
  </si>
  <si>
    <t xml:space="preserve">Staff visiting + Tracking total demand/no.of guest </t>
  </si>
  <si>
    <t>NB: Can combine with any types (e.g., O+S)</t>
  </si>
  <si>
    <t>6 in the kitchen + 2 for dishwasher</t>
  </si>
  <si>
    <t>Talk with Marie</t>
  </si>
  <si>
    <t>14-Aug-2021 --</t>
  </si>
  <si>
    <t>Lunch:</t>
  </si>
  <si>
    <t>A: following 'A'</t>
  </si>
  <si>
    <t>Z: following 'O'</t>
  </si>
  <si>
    <t>Time</t>
  </si>
  <si>
    <t>Y: routing</t>
  </si>
  <si>
    <t>M: toilet</t>
  </si>
  <si>
    <t>focus on toilet visiting + customer demand</t>
  </si>
  <si>
    <t>Strategy 1</t>
  </si>
  <si>
    <t>Strategy 2</t>
  </si>
  <si>
    <t>routing of a group of staff</t>
  </si>
  <si>
    <t>lunch session - 0.5 hour</t>
  </si>
  <si>
    <t>lunch session - 2 hours</t>
  </si>
  <si>
    <t>dinner session 1 hour</t>
  </si>
  <si>
    <t xml:space="preserve">roughly 3 persons at each session for observations </t>
  </si>
  <si>
    <t>rest/eat: 0.5 hour</t>
  </si>
  <si>
    <t>dinner session 3.5~4 hours</t>
  </si>
  <si>
    <t>Gender</t>
  </si>
  <si>
    <t>Toilet visiting + customer demand</t>
  </si>
  <si>
    <t>Staff visiting (with a dedicated group of staff ['A' or 'O'] or based on one or two dedicated tables [201, 202])</t>
  </si>
  <si>
    <t>4 (from 3)</t>
  </si>
  <si>
    <t>F</t>
  </si>
  <si>
    <t>M</t>
  </si>
  <si>
    <t>5(from 2)</t>
  </si>
  <si>
    <t>3(from 2)</t>
  </si>
  <si>
    <t>2(from 1)</t>
  </si>
  <si>
    <t>waiting</t>
  </si>
  <si>
    <t>+1</t>
  </si>
  <si>
    <t>1+1 girl</t>
  </si>
  <si>
    <t>man+women</t>
  </si>
  <si>
    <t>From now on - lost tracking of ppl</t>
  </si>
  <si>
    <t>Break</t>
  </si>
  <si>
    <t>From 18:46 to 19:00</t>
  </si>
  <si>
    <t>About 90 guests at the terrace</t>
  </si>
  <si>
    <t>+2 kids</t>
  </si>
  <si>
    <t>7 ppl difference</t>
  </si>
  <si>
    <t>Total: + 38 (52) = 90</t>
  </si>
  <si>
    <t>52 (if 49)</t>
  </si>
  <si>
    <t>19:00-20:00</t>
  </si>
  <si>
    <t>Dinner time</t>
  </si>
  <si>
    <t>Inside + left terrace</t>
  </si>
  <si>
    <t>Bar Right</t>
  </si>
  <si>
    <t>59+8</t>
  </si>
  <si>
    <t>67 inside + 99 outside</t>
  </si>
  <si>
    <t>Toilet: 3 rooms + 1 urinal</t>
  </si>
  <si>
    <t>30 min recording for toilet visit</t>
  </si>
  <si>
    <t>33 visits = 31 guests + 2 staff</t>
  </si>
  <si>
    <t>Woman in Black</t>
  </si>
  <si>
    <t>?</t>
  </si>
  <si>
    <t>33 visits = 30 guests + 3 staff</t>
  </si>
  <si>
    <t>33+34</t>
  </si>
  <si>
    <t>Mother + Son</t>
  </si>
  <si>
    <t>When I was inside</t>
  </si>
  <si>
    <t>36|55</t>
  </si>
  <si>
    <t>Couple</t>
  </si>
  <si>
    <t>33 visits = 38 guests + 3 staff</t>
  </si>
  <si>
    <t>We moved from 85 to the Bar around 19:20 - then we ate till 20:05</t>
  </si>
  <si>
    <t>Long stay - boy in Yellow hoodie</t>
  </si>
  <si>
    <t>Comment</t>
  </si>
  <si>
    <t>Captured_since_arrival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</si>
</sst>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F400]h:mm:ss\ AM/PM"/>
    <numFmt numFmtId="165" formatCode="dd/mm/yyyy\ hh:mm:ss"/>
  </numFmts>
  <fonts count="8">
    <font>
      <sz val="12"/>
      <color theme="1"/>
      <name val="Calibri"/>
      <family val="2"/>
      <scheme val="minor"/>
    </font>
    <font>
      <b/>
      <sz val="12"/>
      <color theme="1"/>
      <name val="Calibri"/>
      <family val="2"/>
      <scheme val="minor"/>
    </font>
    <font>
      <sz val="12"/>
      <color rgb="FFFF0000"/>
      <name val="Calibri"/>
      <family val="2"/>
      <scheme val="minor"/>
    </font>
    <font>
      <sz val="12"/>
      <name val="Calibri"/>
      <family val="2"/>
      <scheme val="minor"/>
    </font>
    <font>
      <sz val="12"/>
      <color rgb="FF000000"/>
      <name val="Calibri"/>
      <family val="2"/>
      <scheme val="minor"/>
    </font>
    <font>
      <sz val="12"/>
      <color rgb="FFFF0000"/>
      <name val="Calibri (Body)"/>
    </font>
    <font>
      <sz val="12"/>
      <color rgb="FF0070C0"/>
      <name val="Calibri"/>
      <family val="2"/>
      <scheme val="minor"/>
    </font>
    <font>
      <sz val="12"/>
      <color rgb="FF00B0F0"/>
      <name val="Calibri"/>
      <family val="2"/>
      <scheme val="minor"/>
    </font>
  </fonts>
  <fills count="5">
    <fill>
      <patternFill patternType="none"/>
    </fill>
    <fill>
      <patternFill patternType="gray125"/>
    </fill>
    <fill>
      <patternFill patternType="solid">
        <fgColor rgb="FFFFFF00"/>
        <bgColor indexed="64"/>
      </patternFill>
    </fill>
    <fill>
      <patternFill patternType="solid">
        <fgColor rgb="FF92D050"/>
        <bgColor indexed="64"/>
      </patternFill>
    </fill>
    <fill>
      <patternFill patternType="solid">
        <fgColor rgb="FF00B050"/>
        <bgColor indexed="64"/>
      </patternFill>
    </fill>
  </fills>
  <borders count="1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1">
    <xf numFmtId="0" fontId="0" fillId="0" borderId="0"/>
  </cellStyleXfs>
  <cellXfs count="102">
    <xf numFmtId="0" fontId="0" fillId="0" borderId="0" xfId="0"/>
    <xf numFmtId="0" fontId="1" fillId="0" borderId="0" xfId="0" applyFont="1"/>
    <xf numFmtId="0" fontId="1" fillId="2" borderId="0" xfId="0" applyFont="1" applyFill="1"/>
    <xf numFmtId="0" fontId="0" fillId="2" borderId="0" xfId="0" applyFill="1"/>
    <xf numFmtId="0" fontId="0" fillId="0" borderId="0" xfId="0" applyFill="1"/>
    <xf numFmtId="0" fontId="3" fillId="0" borderId="0" xfId="0" applyFont="1"/>
    <xf numFmtId="0" fontId="1" fillId="0" borderId="0" xfId="0" applyFont="1" applyFill="1"/>
    <xf numFmtId="0" fontId="0" fillId="3" borderId="0" xfId="0" applyFill="1"/>
    <xf numFmtId="0" fontId="0" fillId="0" borderId="0" xfId="0" applyAlignment="1">
      <alignment horizontal="center"/>
    </xf>
    <xf numFmtId="0" fontId="6" fillId="0" borderId="0" xfId="0" applyFont="1"/>
    <xf numFmtId="0" fontId="0" fillId="0" borderId="0" xfId="0" applyAlignment="1">
      <alignment horizontal="center" vertical="center"/>
    </xf>
    <xf numFmtId="0" fontId="1" fillId="0" borderId="0" xfId="0" applyFont="1" applyAlignment="1">
      <alignment horizontal="center" vertical="center"/>
    </xf>
    <xf numFmtId="0" fontId="0" fillId="0" borderId="0" xfId="0" applyFill="1" applyAlignment="1">
      <alignment horizontal="center"/>
    </xf>
    <xf numFmtId="0" fontId="2" fillId="2" borderId="0" xfId="0" applyFont="1" applyFill="1"/>
    <xf numFmtId="164" fontId="0" fillId="0" borderId="0" xfId="0" applyNumberFormat="1" applyAlignment="1">
      <alignment horizontal="center"/>
    </xf>
    <xf numFmtId="0" fontId="0" fillId="0" borderId="0" xfId="0" quotePrefix="1"/>
    <xf numFmtId="165" fontId="0" fillId="0" borderId="0" xfId="0" applyNumberFormat="1" applyAlignment="1">
      <alignment horizontal="center"/>
    </xf>
    <xf numFmtId="22" fontId="0" fillId="0" borderId="0" xfId="0" applyNumberFormat="1" applyAlignment="1">
      <alignment horizontal="center"/>
    </xf>
    <xf numFmtId="0" fontId="0" fillId="0" borderId="0" xfId="0" applyAlignment="1">
      <alignment horizontal="left"/>
    </xf>
    <xf numFmtId="0" fontId="6" fillId="0" borderId="0" xfId="0" applyFont="1" applyAlignment="1">
      <alignment horizontal="left"/>
    </xf>
    <xf numFmtId="0" fontId="1" fillId="0" borderId="0" xfId="0" applyFont="1" applyAlignment="1">
      <alignment horizontal="left"/>
    </xf>
    <xf numFmtId="165" fontId="0" fillId="0" borderId="0" xfId="0" applyNumberFormat="1" applyFill="1" applyAlignment="1">
      <alignment horizontal="center"/>
    </xf>
    <xf numFmtId="0" fontId="0" fillId="0" borderId="1" xfId="0" applyBorder="1"/>
    <xf numFmtId="165" fontId="0" fillId="0" borderId="2" xfId="0" applyNumberFormat="1" applyBorder="1" applyAlignment="1">
      <alignment horizontal="center"/>
    </xf>
    <xf numFmtId="0" fontId="0" fillId="0" borderId="4" xfId="0" applyBorder="1"/>
    <xf numFmtId="165" fontId="0" fillId="0" borderId="0" xfId="0" applyNumberFormat="1" applyBorder="1" applyAlignment="1">
      <alignment horizontal="center"/>
    </xf>
    <xf numFmtId="0" fontId="1" fillId="0" borderId="4" xfId="0" applyFont="1" applyBorder="1"/>
    <xf numFmtId="0" fontId="4" fillId="0" borderId="4" xfId="0" applyFont="1" applyBorder="1"/>
    <xf numFmtId="0" fontId="4" fillId="0" borderId="6" xfId="0" applyFont="1" applyBorder="1"/>
    <xf numFmtId="165" fontId="0" fillId="0" borderId="7" xfId="0" applyNumberFormat="1" applyBorder="1" applyAlignment="1">
      <alignment horizontal="center"/>
    </xf>
    <xf numFmtId="0" fontId="0" fillId="0" borderId="3" xfId="0" applyBorder="1" applyAlignment="1">
      <alignment horizontal="center"/>
    </xf>
    <xf numFmtId="0" fontId="0" fillId="0" borderId="5" xfId="0" applyBorder="1" applyAlignment="1">
      <alignment horizontal="center"/>
    </xf>
    <xf numFmtId="0" fontId="0" fillId="0" borderId="8" xfId="0" applyBorder="1" applyAlignment="1">
      <alignment horizontal="center"/>
    </xf>
    <xf numFmtId="0" fontId="7" fillId="0" borderId="0" xfId="0" applyFont="1"/>
    <xf numFmtId="0" fontId="3" fillId="0" borderId="0" xfId="0" quotePrefix="1" applyFont="1" applyFill="1"/>
    <xf numFmtId="0" fontId="1" fillId="0" borderId="1" xfId="0" applyFont="1" applyBorder="1"/>
    <xf numFmtId="0" fontId="0" fillId="0" borderId="2" xfId="0" applyBorder="1"/>
    <xf numFmtId="0" fontId="0" fillId="0" borderId="3" xfId="0" applyBorder="1"/>
    <xf numFmtId="20" fontId="0" fillId="0" borderId="4" xfId="0" applyNumberFormat="1" applyBorder="1"/>
    <xf numFmtId="0" fontId="0" fillId="0" borderId="0" xfId="0" applyBorder="1"/>
    <xf numFmtId="0" fontId="0" fillId="0" borderId="5" xfId="0" applyBorder="1"/>
    <xf numFmtId="0" fontId="0" fillId="0" borderId="6" xfId="0" applyBorder="1"/>
    <xf numFmtId="0" fontId="0" fillId="0" borderId="7" xfId="0" applyBorder="1"/>
    <xf numFmtId="0" fontId="0" fillId="0" borderId="8" xfId="0" applyBorder="1"/>
    <xf numFmtId="0" fontId="7" fillId="0" borderId="0" xfId="0" applyFont="1" applyFill="1"/>
    <xf numFmtId="0" fontId="2" fillId="0" borderId="0" xfId="0" applyFont="1" applyBorder="1"/>
    <xf numFmtId="165" fontId="0" fillId="2" borderId="0" xfId="0" applyNumberFormat="1" applyFill="1" applyAlignment="1">
      <alignment horizontal="center"/>
    </xf>
    <xf numFmtId="0" fontId="2" fillId="0" borderId="0" xfId="0" applyFont="1" applyAlignment="1">
      <alignment horizontal="center"/>
    </xf>
    <xf numFmtId="0" fontId="1" fillId="0" borderId="1" xfId="0" applyFont="1" applyBorder="1" applyAlignment="1">
      <alignment horizontal="center" vertical="center"/>
    </xf>
    <xf numFmtId="0" fontId="1" fillId="0" borderId="2" xfId="0" applyFont="1" applyBorder="1" applyAlignment="1">
      <alignment horizontal="center" vertical="center"/>
    </xf>
    <xf numFmtId="0" fontId="1" fillId="2" borderId="3" xfId="0" applyFont="1" applyFill="1" applyBorder="1"/>
    <xf numFmtId="0" fontId="0" fillId="0" borderId="4" xfId="0" applyBorder="1" applyAlignment="1">
      <alignment horizontal="center" vertical="center"/>
    </xf>
    <xf numFmtId="0" fontId="0" fillId="0" borderId="0" xfId="0" applyBorder="1" applyAlignment="1">
      <alignment horizontal="center" vertical="center"/>
    </xf>
    <xf numFmtId="0" fontId="0" fillId="0" borderId="5" xfId="0" applyBorder="1" applyAlignment="1">
      <alignment horizontal="center" vertical="center"/>
    </xf>
    <xf numFmtId="0" fontId="0" fillId="0" borderId="6" xfId="0"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2" borderId="0" xfId="0" applyFill="1" applyBorder="1"/>
    <xf numFmtId="0" fontId="0" fillId="0" borderId="0" xfId="0" applyFill="1" applyBorder="1"/>
    <xf numFmtId="0" fontId="2" fillId="0" borderId="0" xfId="0" applyFont="1"/>
    <xf numFmtId="0" fontId="2" fillId="0" borderId="5" xfId="0" applyFont="1" applyBorder="1"/>
    <xf numFmtId="0" fontId="0" fillId="2" borderId="0" xfId="0" applyFill="1" applyAlignment="1">
      <alignment horizontal="center"/>
    </xf>
    <xf numFmtId="0" fontId="0" fillId="0" borderId="9" xfId="0" applyBorder="1"/>
    <xf numFmtId="165" fontId="0" fillId="2" borderId="10" xfId="0" applyNumberFormat="1" applyFill="1" applyBorder="1" applyAlignment="1">
      <alignment horizontal="left"/>
    </xf>
    <xf numFmtId="165" fontId="0" fillId="2" borderId="10" xfId="0" applyNumberFormat="1" applyFill="1" applyBorder="1" applyAlignment="1">
      <alignment horizontal="center"/>
    </xf>
    <xf numFmtId="0" fontId="0" fillId="0" borderId="10" xfId="0" applyBorder="1" applyAlignment="1">
      <alignment horizontal="center"/>
    </xf>
    <xf numFmtId="22" fontId="0" fillId="0" borderId="10" xfId="0" applyNumberFormat="1" applyBorder="1" applyAlignment="1">
      <alignment horizontal="center"/>
    </xf>
    <xf numFmtId="0" fontId="0" fillId="0" borderId="10" xfId="0" applyBorder="1"/>
    <xf numFmtId="0" fontId="1" fillId="0" borderId="12" xfId="0" applyFont="1" applyBorder="1" applyAlignment="1">
      <alignment horizontal="center"/>
    </xf>
    <xf numFmtId="165" fontId="1" fillId="0" borderId="13" xfId="0" applyNumberFormat="1" applyFont="1" applyBorder="1" applyAlignment="1">
      <alignment horizontal="center"/>
    </xf>
    <xf numFmtId="0" fontId="1" fillId="0" borderId="13" xfId="0" applyFont="1" applyBorder="1" applyAlignment="1">
      <alignment horizontal="center"/>
    </xf>
    <xf numFmtId="22" fontId="1" fillId="0" borderId="13" xfId="0" applyNumberFormat="1" applyFont="1" applyBorder="1" applyAlignment="1">
      <alignment horizontal="center"/>
    </xf>
    <xf numFmtId="0" fontId="1" fillId="0" borderId="14" xfId="0" applyFont="1" applyBorder="1" applyAlignment="1">
      <alignment horizontal="center"/>
    </xf>
    <xf numFmtId="0" fontId="1" fillId="0" borderId="15" xfId="0" applyFont="1" applyBorder="1" applyAlignment="1">
      <alignment horizontal="center"/>
    </xf>
    <xf numFmtId="0" fontId="1" fillId="0" borderId="16" xfId="0" applyFont="1" applyBorder="1" applyAlignment="1">
      <alignment horizontal="center"/>
    </xf>
    <xf numFmtId="0" fontId="1" fillId="0" borderId="16" xfId="0" applyFont="1" applyBorder="1"/>
    <xf numFmtId="165" fontId="1" fillId="0" borderId="16" xfId="0" applyNumberFormat="1" applyFont="1" applyBorder="1" applyAlignment="1">
      <alignment horizontal="center"/>
    </xf>
    <xf numFmtId="0" fontId="1" fillId="0" borderId="17" xfId="0" applyFont="1" applyBorder="1" applyAlignment="1">
      <alignment horizontal="left"/>
    </xf>
    <xf numFmtId="0" fontId="0" fillId="0" borderId="0" xfId="0" applyBorder="1" applyAlignment="1">
      <alignment horizontal="center"/>
    </xf>
    <xf numFmtId="0" fontId="4" fillId="0" borderId="1" xfId="0" applyFont="1" applyBorder="1"/>
    <xf numFmtId="22" fontId="2" fillId="0" borderId="0" xfId="0" applyNumberFormat="1" applyFont="1"/>
    <xf numFmtId="15" fontId="0" fillId="0" borderId="0" xfId="0" applyNumberFormat="1"/>
    <xf numFmtId="22" fontId="0" fillId="0" borderId="0" xfId="0" applyNumberFormat="1"/>
    <xf numFmtId="0" fontId="1" fillId="0" borderId="10" xfId="0" applyFont="1" applyBorder="1" applyAlignment="1">
      <alignment horizontal="center"/>
    </xf>
    <xf numFmtId="0" fontId="0" fillId="4" borderId="0" xfId="0" applyFill="1" applyAlignment="1">
      <alignment horizontal="center"/>
    </xf>
    <xf numFmtId="22" fontId="0" fillId="4" borderId="0" xfId="0" applyNumberFormat="1" applyFill="1" applyAlignment="1">
      <alignment horizontal="center"/>
    </xf>
    <xf numFmtId="165" fontId="0" fillId="4" borderId="0" xfId="0" applyNumberFormat="1" applyFill="1" applyAlignment="1">
      <alignment horizontal="center"/>
    </xf>
    <xf numFmtId="165" fontId="0" fillId="4" borderId="0" xfId="0" applyNumberFormat="1" applyFill="1" applyAlignment="1">
      <alignment horizontal="left"/>
    </xf>
    <xf numFmtId="0" fontId="0" fillId="0" borderId="0" xfId="0" quotePrefix="1" applyAlignment="1">
      <alignment horizontal="center"/>
    </xf>
    <xf numFmtId="165" fontId="0" fillId="0" borderId="1" xfId="0" applyNumberFormat="1" applyBorder="1" applyAlignment="1">
      <alignment horizontal="center"/>
    </xf>
    <xf numFmtId="0" fontId="0" fillId="0" borderId="2" xfId="0" applyBorder="1" applyAlignment="1">
      <alignment horizontal="center"/>
    </xf>
    <xf numFmtId="165" fontId="0" fillId="0" borderId="6" xfId="0" applyNumberFormat="1" applyBorder="1" applyAlignment="1">
      <alignment horizontal="center"/>
    </xf>
    <xf numFmtId="0" fontId="0" fillId="0" borderId="7" xfId="0" applyBorder="1" applyAlignment="1">
      <alignment horizontal="center"/>
    </xf>
    <xf numFmtId="0" fontId="1" fillId="0" borderId="7" xfId="0" applyFont="1" applyBorder="1" applyAlignment="1">
      <alignment horizontal="center"/>
    </xf>
    <xf numFmtId="0" fontId="1" fillId="0" borderId="7" xfId="0" applyFont="1" applyBorder="1"/>
    <xf numFmtId="165" fontId="0" fillId="0" borderId="10" xfId="0" applyNumberFormat="1" applyBorder="1" applyAlignment="1">
      <alignment horizontal="center"/>
    </xf>
    <xf numFmtId="0" fontId="0" fillId="4" borderId="10" xfId="0" quotePrefix="1" applyFill="1" applyBorder="1"/>
    <xf numFmtId="0" fontId="0" fillId="4" borderId="10" xfId="0" applyFill="1" applyBorder="1"/>
    <xf numFmtId="165" fontId="0" fillId="2" borderId="0" xfId="0" applyNumberFormat="1" applyFont="1" applyFill="1" applyAlignment="1">
      <alignment horizontal="center"/>
    </xf>
    <xf numFmtId="0" fontId="1" fillId="2" borderId="0" xfId="0" applyFont="1" applyFill="1" applyAlignment="1">
      <alignment horizontal="center"/>
    </xf>
    <xf numFmtId="0" fontId="1" fillId="0" borderId="10" xfId="0" applyFont="1" applyBorder="1" applyAlignment="1">
      <alignment horizontal="center"/>
    </xf>
    <xf numFmtId="0" fontId="1" fillId="0" borderId="11" xfId="0" applyFont="1" applyBorder="1" applyAlignment="1">
      <alignment horizont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L128"/>
  <sheetViews>
    <sheetView tabSelected="1" topLeftCell="A4" workbookViewId="0">
      <selection activeCell="G52" sqref="G52"/>
    </sheetView>
  </sheetViews>
  <sheetFormatPr defaultColWidth="11" defaultRowHeight="15.75"/>
  <cols>
    <col min="1" max="1" width="19.125" customWidth="1"/>
    <col min="2" max="2" width="20.875" style="16" customWidth="1"/>
    <col min="3" max="3" width="22.375" style="16" customWidth="1"/>
    <col min="4" max="4" width="17.625" style="8" customWidth="1"/>
    <col min="5" max="5" width="50.5" style="8" customWidth="1"/>
    <col min="6" max="7" width="66.125" customWidth="1"/>
    <col min="8" max="8" width="17.625" style="8" customWidth="1"/>
    <col min="9" max="9" width="19.5" style="8" customWidth="1"/>
    <col min="11" max="11" width="10.875" style="8"/>
    <col min="12" max="12" width="15.875" style="8" bestFit="1" customWidth="1"/>
  </cols>
  <sheetData>
    <row r="2" spans="1:12">
      <c r="A2" t="s">
        <v>85</v>
      </c>
    </row>
    <row r="4" spans="1:12" ht="16.5" thickBot="1"/>
    <row r="5" spans="1:12">
      <c r="A5" s="35" t="s">
        <v>69</v>
      </c>
      <c r="B5" s="23"/>
      <c r="C5" s="23"/>
      <c r="D5" s="30"/>
    </row>
    <row r="6" spans="1:12">
      <c r="A6" s="24" t="s">
        <v>70</v>
      </c>
      <c r="B6" s="25">
        <v>44422.474062499998</v>
      </c>
      <c r="C6" s="25" t="s">
        <v>95</v>
      </c>
      <c r="D6" s="31">
        <v>6</v>
      </c>
      <c r="E6" s="8" t="s">
        <v>171</v>
      </c>
      <c r="F6" s="80"/>
      <c r="G6" s="80"/>
    </row>
    <row r="7" spans="1:12" ht="16.5" thickBot="1">
      <c r="A7" s="41" t="s">
        <v>87</v>
      </c>
      <c r="B7" s="29">
        <v>44422.522337962961</v>
      </c>
      <c r="C7" s="29"/>
      <c r="D7" s="32"/>
      <c r="E7" s="3" t="s">
        <v>164</v>
      </c>
      <c r="F7" s="59"/>
      <c r="G7" s="59"/>
    </row>
    <row r="8" spans="1:12" ht="16.5" thickBot="1">
      <c r="F8" s="80"/>
      <c r="G8" s="80"/>
    </row>
    <row r="9" spans="1:12">
      <c r="A9" s="22" t="s">
        <v>89</v>
      </c>
      <c r="B9" s="23">
        <v>44422.717118055552</v>
      </c>
      <c r="C9" s="23" t="s">
        <v>95</v>
      </c>
      <c r="D9" s="30">
        <v>6</v>
      </c>
    </row>
    <row r="10" spans="1:12">
      <c r="A10" s="24" t="s">
        <v>90</v>
      </c>
      <c r="B10" s="25">
        <v>44422.774652777778</v>
      </c>
      <c r="C10" s="25"/>
      <c r="D10" s="31"/>
    </row>
    <row r="11" spans="1:12" ht="16.5" thickBot="1">
      <c r="A11" s="41"/>
      <c r="B11" s="29"/>
      <c r="C11" s="29"/>
      <c r="D11" s="32"/>
      <c r="J11" s="15"/>
    </row>
    <row r="12" spans="1:12" ht="16.5" thickBot="1">
      <c r="A12" s="39"/>
      <c r="B12" s="25"/>
      <c r="C12" s="25"/>
      <c r="D12" s="78"/>
    </row>
    <row r="13" spans="1:12">
      <c r="A13" s="35" t="s">
        <v>88</v>
      </c>
      <c r="B13" s="23"/>
      <c r="C13" s="23"/>
      <c r="D13" s="30"/>
      <c r="J13" s="8"/>
      <c r="K13" s="14"/>
      <c r="L13" s="14"/>
    </row>
    <row r="14" spans="1:12">
      <c r="A14" s="24" t="s">
        <v>91</v>
      </c>
      <c r="B14" s="25"/>
      <c r="C14" s="25" t="s">
        <v>95</v>
      </c>
      <c r="D14" s="31"/>
      <c r="J14" s="8"/>
      <c r="K14" s="14"/>
      <c r="L14" s="14"/>
    </row>
    <row r="15" spans="1:12" ht="16.5" thickBot="1">
      <c r="A15" s="41" t="s">
        <v>92</v>
      </c>
      <c r="B15" s="29"/>
      <c r="C15" s="29"/>
      <c r="D15" s="32"/>
      <c r="J15" s="8"/>
      <c r="K15" s="14"/>
      <c r="L15" s="14"/>
    </row>
    <row r="16" spans="1:12" ht="16.5" thickBot="1">
      <c r="A16" s="39"/>
      <c r="B16" s="25"/>
      <c r="C16" s="25"/>
      <c r="D16" s="78"/>
      <c r="L16" s="17"/>
    </row>
    <row r="17" spans="1:9">
      <c r="A17" s="79" t="s">
        <v>93</v>
      </c>
      <c r="B17" s="23"/>
      <c r="C17" s="23" t="s">
        <v>95</v>
      </c>
      <c r="D17" s="30"/>
    </row>
    <row r="18" spans="1:9">
      <c r="A18" s="27" t="s">
        <v>94</v>
      </c>
      <c r="B18" s="25"/>
      <c r="C18" s="25"/>
      <c r="D18" s="31"/>
    </row>
    <row r="19" spans="1:9" ht="16.5" thickBot="1">
      <c r="A19" s="28"/>
      <c r="B19" s="29"/>
      <c r="C19" s="29"/>
      <c r="D19" s="32"/>
    </row>
    <row r="21" spans="1:9">
      <c r="A21" s="62"/>
      <c r="B21" s="63" t="s">
        <v>161</v>
      </c>
      <c r="C21" s="64"/>
      <c r="D21" s="65"/>
      <c r="E21" s="66"/>
      <c r="F21" s="67"/>
      <c r="G21" s="67"/>
      <c r="H21" s="100" t="s">
        <v>128</v>
      </c>
      <c r="I21" s="101"/>
    </row>
    <row r="22" spans="1:9">
      <c r="A22" s="68" t="s">
        <v>15</v>
      </c>
      <c r="B22" s="69" t="s">
        <v>16</v>
      </c>
      <c r="C22" s="69" t="s">
        <v>17</v>
      </c>
      <c r="D22" s="70" t="s">
        <v>47</v>
      </c>
      <c r="E22" s="71" t="s">
        <v>162</v>
      </c>
      <c r="F22" s="71" t="s">
        <v>231</v>
      </c>
      <c r="G22" s="71" t="s">
        <v>232</v>
      </c>
      <c r="H22" s="70" t="s">
        <v>129</v>
      </c>
      <c r="I22" s="72" t="s">
        <v>130</v>
      </c>
    </row>
    <row r="23" spans="1:9">
      <c r="A23" s="8">
        <v>1</v>
      </c>
      <c r="C23" s="16">
        <v>44422.715416666666</v>
      </c>
      <c r="D23" s="8">
        <v>504</v>
      </c>
      <c r="E23" s="8">
        <v>-2</v>
      </c>
      <c r="G23" t="b">
        <v>0</v>
      </c>
      <c r="H23" s="8">
        <v>10</v>
      </c>
      <c r="I23" s="8">
        <v>12</v>
      </c>
    </row>
    <row r="24" spans="1:9">
      <c r="A24" s="8">
        <v>2</v>
      </c>
      <c r="B24" s="16">
        <v>44422.717326388891</v>
      </c>
      <c r="D24" s="8">
        <v>405</v>
      </c>
      <c r="E24" s="8">
        <v>2</v>
      </c>
      <c r="H24" s="8" t="s">
        <v>129</v>
      </c>
    </row>
    <row r="25" spans="1:9">
      <c r="A25" s="8">
        <v>3</v>
      </c>
      <c r="B25" s="16">
        <v>44422.716770833336</v>
      </c>
      <c r="D25" s="8">
        <v>504</v>
      </c>
      <c r="E25" s="8">
        <v>2</v>
      </c>
      <c r="H25" s="84" t="s">
        <v>210</v>
      </c>
      <c r="I25" s="85">
        <v>44422.717210648145</v>
      </c>
    </row>
    <row r="26" spans="1:9">
      <c r="A26" s="8">
        <v>4</v>
      </c>
      <c r="B26" s="16">
        <v>44422.721006944441</v>
      </c>
      <c r="D26" s="8">
        <v>81</v>
      </c>
      <c r="E26" s="8">
        <v>2</v>
      </c>
    </row>
    <row r="27" spans="1:9">
      <c r="A27" s="8">
        <v>5</v>
      </c>
      <c r="B27" s="16">
        <v>44422.72115740741</v>
      </c>
      <c r="D27" s="8">
        <v>207</v>
      </c>
      <c r="E27" s="8">
        <v>3</v>
      </c>
      <c r="H27" s="12"/>
      <c r="I27" s="12"/>
    </row>
    <row r="28" spans="1:9">
      <c r="A28" s="8">
        <v>6</v>
      </c>
      <c r="B28" s="16">
        <v>44422.722118055557</v>
      </c>
      <c r="D28" s="8">
        <v>101</v>
      </c>
      <c r="E28" s="8">
        <v>3</v>
      </c>
    </row>
    <row r="29" spans="1:9">
      <c r="A29" s="8">
        <v>7</v>
      </c>
      <c r="C29" s="16">
        <v>44422.72283564815</v>
      </c>
      <c r="D29" s="8">
        <v>402</v>
      </c>
      <c r="E29" s="8">
        <v>-4</v>
      </c>
      <c r="G29" t="b">
        <v>0</v>
      </c>
    </row>
    <row r="30" spans="1:9">
      <c r="A30" s="8">
        <v>8</v>
      </c>
      <c r="B30" s="16">
        <v>44422.722974537035</v>
      </c>
      <c r="D30" s="8">
        <v>404</v>
      </c>
      <c r="E30" s="8">
        <v>1</v>
      </c>
    </row>
    <row r="31" spans="1:9">
      <c r="A31" s="8">
        <v>9</v>
      </c>
      <c r="C31" s="16">
        <v>44422.725289351853</v>
      </c>
      <c r="D31" s="8">
        <v>210</v>
      </c>
      <c r="E31" s="8">
        <v>-2</v>
      </c>
      <c r="G31" t="b">
        <v>0</v>
      </c>
    </row>
    <row r="32" spans="1:9">
      <c r="A32" s="8">
        <v>10</v>
      </c>
      <c r="C32" s="16">
        <v>44422.726157407407</v>
      </c>
      <c r="D32" s="8">
        <v>201</v>
      </c>
      <c r="E32" s="8">
        <v>-2</v>
      </c>
      <c r="G32" t="b">
        <v>0</v>
      </c>
    </row>
    <row r="33" spans="1:7">
      <c r="A33" s="8">
        <v>11</v>
      </c>
      <c r="C33" s="16">
        <v>44422.726168981484</v>
      </c>
      <c r="D33" s="8">
        <v>202</v>
      </c>
      <c r="E33" s="8">
        <v>-2</v>
      </c>
      <c r="G33" t="b">
        <v>0</v>
      </c>
    </row>
    <row r="34" spans="1:7">
      <c r="A34" s="8">
        <v>12</v>
      </c>
      <c r="B34" s="16">
        <v>44422.7265162037</v>
      </c>
      <c r="D34" s="84">
        <v>402</v>
      </c>
      <c r="E34" s="8">
        <f>2+2</f>
        <v>4</v>
      </c>
      <c r="F34" s="15" t="s">
        <v>207</v>
      </c>
      <c r="G34" s="15"/>
    </row>
    <row r="35" spans="1:7">
      <c r="A35" s="8">
        <v>12</v>
      </c>
      <c r="B35" s="16">
        <v>44422.726956018516</v>
      </c>
      <c r="D35" s="84">
        <v>403</v>
      </c>
      <c r="E35" s="8">
        <v>2</v>
      </c>
    </row>
    <row r="36" spans="1:7">
      <c r="A36" s="8">
        <v>12</v>
      </c>
      <c r="B36" s="16">
        <v>44422.727905092594</v>
      </c>
      <c r="D36" s="8">
        <v>210</v>
      </c>
      <c r="E36" s="8">
        <v>2</v>
      </c>
    </row>
    <row r="37" spans="1:7">
      <c r="A37" s="8">
        <v>15</v>
      </c>
      <c r="B37" s="16">
        <v>44422.729317129626</v>
      </c>
      <c r="D37" s="8">
        <v>202</v>
      </c>
      <c r="E37" s="8">
        <v>2</v>
      </c>
    </row>
    <row r="38" spans="1:7">
      <c r="A38" s="8">
        <v>16</v>
      </c>
      <c r="C38" s="16">
        <v>44422.730127314811</v>
      </c>
      <c r="D38" s="8">
        <v>204</v>
      </c>
      <c r="E38" s="8">
        <v>-2</v>
      </c>
      <c r="G38" t="b">
        <v>0</v>
      </c>
    </row>
    <row r="39" spans="1:7">
      <c r="A39" s="8">
        <v>17</v>
      </c>
      <c r="C39" s="16">
        <v>44422.731932870367</v>
      </c>
      <c r="D39" s="8">
        <v>86</v>
      </c>
      <c r="E39" s="8">
        <v>-3</v>
      </c>
      <c r="G39" t="b">
        <v>0</v>
      </c>
    </row>
    <row r="40" spans="1:7">
      <c r="A40" s="8">
        <v>18</v>
      </c>
      <c r="B40" s="16">
        <v>44422.732488425929</v>
      </c>
      <c r="D40" s="8">
        <v>203</v>
      </c>
      <c r="E40" s="61">
        <v>1</v>
      </c>
      <c r="F40" s="8" t="s">
        <v>193</v>
      </c>
      <c r="G40" s="8"/>
    </row>
    <row r="41" spans="1:7">
      <c r="A41" s="8">
        <v>19</v>
      </c>
      <c r="C41" s="16">
        <v>44422.73337962963</v>
      </c>
      <c r="D41" s="8">
        <v>303</v>
      </c>
      <c r="E41" s="8">
        <v>-3</v>
      </c>
    </row>
    <row r="42" spans="1:7">
      <c r="A42" s="8">
        <v>20</v>
      </c>
      <c r="B42" s="16">
        <v>44422.735185185185</v>
      </c>
      <c r="D42" s="8">
        <v>304</v>
      </c>
      <c r="E42" s="8">
        <v>2</v>
      </c>
      <c r="G42" t="b">
        <v>0</v>
      </c>
    </row>
    <row r="43" spans="1:7">
      <c r="A43" s="8">
        <v>21</v>
      </c>
      <c r="B43" s="16">
        <v>44422.735682870371</v>
      </c>
      <c r="D43" s="84">
        <v>501</v>
      </c>
      <c r="E43" s="8">
        <v>3</v>
      </c>
    </row>
    <row r="44" spans="1:7">
      <c r="A44" s="8">
        <v>22</v>
      </c>
      <c r="C44" s="16">
        <v>44422.736319444448</v>
      </c>
      <c r="D44" s="8">
        <v>102</v>
      </c>
      <c r="E44" s="8">
        <v>-3</v>
      </c>
      <c r="G44" t="b">
        <v>0</v>
      </c>
    </row>
    <row r="45" spans="1:7">
      <c r="A45" s="8">
        <v>23</v>
      </c>
      <c r="B45" s="16">
        <v>44422.736909722225</v>
      </c>
      <c r="D45" s="8">
        <v>406</v>
      </c>
      <c r="E45" s="61">
        <v>2</v>
      </c>
      <c r="F45" s="15" t="s">
        <v>201</v>
      </c>
      <c r="G45" s="15"/>
    </row>
    <row r="46" spans="1:7">
      <c r="A46" s="8">
        <v>24</v>
      </c>
      <c r="B46" s="16">
        <v>44422.737222222226</v>
      </c>
      <c r="D46" s="84">
        <v>403</v>
      </c>
      <c r="E46" s="8">
        <v>3</v>
      </c>
      <c r="F46" s="8" t="s">
        <v>196</v>
      </c>
      <c r="G46" s="8"/>
    </row>
    <row r="47" spans="1:7">
      <c r="A47" s="8">
        <v>25</v>
      </c>
      <c r="B47" s="16">
        <v>44422.738530092596</v>
      </c>
      <c r="D47" s="8">
        <v>208</v>
      </c>
      <c r="E47" s="8">
        <v>1</v>
      </c>
      <c r="F47" s="8" t="s">
        <v>197</v>
      </c>
      <c r="G47" s="8"/>
    </row>
    <row r="48" spans="1:7">
      <c r="A48" s="8">
        <v>26</v>
      </c>
      <c r="B48" s="16">
        <v>44422.739618055559</v>
      </c>
      <c r="D48" s="8">
        <v>404</v>
      </c>
      <c r="E48" s="8">
        <v>1</v>
      </c>
      <c r="F48" s="8" t="s">
        <v>198</v>
      </c>
      <c r="G48" s="8"/>
    </row>
    <row r="49" spans="1:7">
      <c r="A49" s="8">
        <v>27</v>
      </c>
      <c r="B49" s="16">
        <v>44422.740011574075</v>
      </c>
      <c r="D49" s="8">
        <v>204</v>
      </c>
      <c r="E49" s="8">
        <v>3</v>
      </c>
    </row>
    <row r="50" spans="1:7">
      <c r="A50" s="8">
        <v>28</v>
      </c>
      <c r="B50" s="16">
        <v>44422.740567129629</v>
      </c>
      <c r="D50" s="8">
        <v>401</v>
      </c>
      <c r="E50" s="8">
        <v>2</v>
      </c>
    </row>
    <row r="51" spans="1:7">
      <c r="A51" s="8">
        <v>29</v>
      </c>
      <c r="B51" s="16">
        <v>44422.74113425926</v>
      </c>
      <c r="D51" s="8">
        <v>102</v>
      </c>
      <c r="E51" s="8">
        <v>3</v>
      </c>
    </row>
    <row r="52" spans="1:7">
      <c r="A52" s="8">
        <v>30</v>
      </c>
      <c r="C52" s="16">
        <v>44422.742604166669</v>
      </c>
      <c r="D52" s="8">
        <v>502</v>
      </c>
      <c r="E52" s="8">
        <v>-2</v>
      </c>
      <c r="G52" t="b">
        <v>0</v>
      </c>
    </row>
    <row r="53" spans="1:7">
      <c r="A53" s="8">
        <v>31</v>
      </c>
      <c r="B53" s="46">
        <v>44422.742280092592</v>
      </c>
      <c r="D53" s="8">
        <v>83</v>
      </c>
      <c r="E53" s="8">
        <v>2</v>
      </c>
    </row>
    <row r="54" spans="1:7">
      <c r="A54" s="8">
        <v>32</v>
      </c>
      <c r="B54" s="16">
        <v>44422.743171296293</v>
      </c>
      <c r="D54" s="8">
        <v>206</v>
      </c>
      <c r="E54" s="8">
        <v>2</v>
      </c>
    </row>
    <row r="55" spans="1:7">
      <c r="A55" s="8">
        <v>33</v>
      </c>
      <c r="B55" s="16">
        <v>44422.743726851855</v>
      </c>
      <c r="D55" s="84">
        <v>502</v>
      </c>
      <c r="E55" s="61">
        <v>1</v>
      </c>
      <c r="F55" t="s">
        <v>199</v>
      </c>
    </row>
    <row r="56" spans="1:7">
      <c r="A56" s="8">
        <v>34</v>
      </c>
      <c r="B56" s="46">
        <v>44422.744247685187</v>
      </c>
      <c r="D56" s="8">
        <v>82</v>
      </c>
      <c r="E56" s="8">
        <v>2</v>
      </c>
    </row>
    <row r="57" spans="1:7">
      <c r="A57" s="8">
        <v>35</v>
      </c>
      <c r="C57" s="16">
        <v>44422.745740740742</v>
      </c>
      <c r="D57" s="8">
        <v>88</v>
      </c>
      <c r="E57" s="8">
        <v>-2</v>
      </c>
    </row>
    <row r="58" spans="1:7">
      <c r="A58" s="8">
        <v>36</v>
      </c>
      <c r="B58" s="16">
        <v>44422.746736111112</v>
      </c>
      <c r="D58" s="8">
        <v>86</v>
      </c>
      <c r="E58" s="8">
        <v>1</v>
      </c>
    </row>
    <row r="59" spans="1:7">
      <c r="A59" s="8">
        <v>37</v>
      </c>
      <c r="B59" s="46">
        <v>44422.746979166666</v>
      </c>
      <c r="D59" s="8">
        <v>405</v>
      </c>
      <c r="E59" s="61">
        <v>2</v>
      </c>
      <c r="F59" t="s">
        <v>202</v>
      </c>
    </row>
    <row r="60" spans="1:7">
      <c r="A60" s="8">
        <v>38</v>
      </c>
      <c r="B60" s="16">
        <v>44422.747141203705</v>
      </c>
      <c r="D60" s="8">
        <v>506</v>
      </c>
      <c r="E60" s="8">
        <v>3</v>
      </c>
    </row>
    <row r="61" spans="1:7">
      <c r="A61" s="8">
        <v>39</v>
      </c>
      <c r="B61" s="16">
        <v>44422.749247685184</v>
      </c>
      <c r="D61" s="8">
        <v>86</v>
      </c>
      <c r="E61" s="8">
        <v>1</v>
      </c>
      <c r="F61" s="15" t="s">
        <v>200</v>
      </c>
      <c r="G61" s="15"/>
    </row>
    <row r="62" spans="1:7">
      <c r="A62" s="8">
        <v>40</v>
      </c>
      <c r="B62" s="16">
        <v>44422.749895833331</v>
      </c>
      <c r="D62" s="8">
        <v>88</v>
      </c>
      <c r="E62" s="8">
        <v>3</v>
      </c>
    </row>
    <row r="63" spans="1:7">
      <c r="A63" s="8">
        <v>41</v>
      </c>
      <c r="C63" s="16">
        <v>44422.750347222223</v>
      </c>
      <c r="D63" s="8">
        <v>104</v>
      </c>
      <c r="E63" s="8">
        <v>-2</v>
      </c>
    </row>
    <row r="64" spans="1:7">
      <c r="A64" s="8">
        <v>42</v>
      </c>
      <c r="C64" s="16">
        <v>44422.752013888887</v>
      </c>
      <c r="D64" s="8">
        <v>202</v>
      </c>
      <c r="E64" s="8">
        <v>-2</v>
      </c>
    </row>
    <row r="65" spans="1:8">
      <c r="A65" s="8">
        <v>43</v>
      </c>
      <c r="B65" s="16">
        <v>44422.752152777779</v>
      </c>
      <c r="D65" s="8">
        <v>202</v>
      </c>
      <c r="E65" s="8">
        <v>2</v>
      </c>
    </row>
    <row r="66" spans="1:8">
      <c r="A66" s="8">
        <v>44</v>
      </c>
      <c r="B66" s="16">
        <v>44422.752337962964</v>
      </c>
      <c r="D66" s="8">
        <v>84</v>
      </c>
      <c r="E66" s="8">
        <v>3</v>
      </c>
    </row>
    <row r="67" spans="1:8">
      <c r="A67" s="8">
        <v>45</v>
      </c>
      <c r="C67" s="16">
        <v>44422.752500000002</v>
      </c>
      <c r="D67" s="84">
        <v>402</v>
      </c>
      <c r="E67" s="8">
        <v>-4</v>
      </c>
    </row>
    <row r="68" spans="1:8">
      <c r="A68" s="8">
        <v>46</v>
      </c>
      <c r="C68" s="16">
        <v>44422.75341435185</v>
      </c>
      <c r="D68" s="84">
        <v>403</v>
      </c>
      <c r="E68" s="8">
        <v>-5</v>
      </c>
    </row>
    <row r="69" spans="1:8">
      <c r="A69" s="8">
        <v>47</v>
      </c>
      <c r="B69" s="16">
        <v>44422.754791666666</v>
      </c>
      <c r="D69" s="8">
        <v>201</v>
      </c>
      <c r="E69" s="8">
        <v>2</v>
      </c>
    </row>
    <row r="70" spans="1:8">
      <c r="A70" s="8">
        <v>48</v>
      </c>
      <c r="C70" s="16">
        <v>44422.755277777775</v>
      </c>
      <c r="D70" s="8">
        <v>101</v>
      </c>
      <c r="E70" s="8">
        <v>-3</v>
      </c>
    </row>
    <row r="71" spans="1:8">
      <c r="A71" s="8">
        <v>49</v>
      </c>
      <c r="B71" s="16">
        <v>44422.755358796298</v>
      </c>
      <c r="D71" s="8">
        <v>403</v>
      </c>
      <c r="E71" s="8">
        <v>4</v>
      </c>
    </row>
    <row r="72" spans="1:8">
      <c r="A72" s="8">
        <v>50</v>
      </c>
      <c r="C72" s="16">
        <v>44422.755706018521</v>
      </c>
      <c r="D72" s="8">
        <v>103</v>
      </c>
      <c r="E72" s="8">
        <v>-2</v>
      </c>
    </row>
    <row r="73" spans="1:8">
      <c r="A73" s="8">
        <v>51</v>
      </c>
      <c r="B73" s="16">
        <v>44422.755995370368</v>
      </c>
      <c r="D73" s="8">
        <v>103</v>
      </c>
      <c r="E73" s="8">
        <v>2</v>
      </c>
    </row>
    <row r="74" spans="1:8">
      <c r="A74" s="8">
        <v>52</v>
      </c>
      <c r="B74" s="16">
        <v>44422.759687500002</v>
      </c>
      <c r="D74" s="8">
        <v>101</v>
      </c>
      <c r="E74" s="8">
        <v>5</v>
      </c>
    </row>
    <row r="75" spans="1:8">
      <c r="A75" s="8">
        <v>53</v>
      </c>
      <c r="C75" s="16">
        <v>44422.757881944446</v>
      </c>
      <c r="D75" s="8">
        <v>301</v>
      </c>
      <c r="E75" s="8">
        <v>-2</v>
      </c>
    </row>
    <row r="76" spans="1:8">
      <c r="A76" s="8">
        <v>54</v>
      </c>
      <c r="B76" s="16">
        <v>44422.76</v>
      </c>
      <c r="D76" s="8">
        <v>301</v>
      </c>
      <c r="E76" s="8">
        <v>2</v>
      </c>
    </row>
    <row r="77" spans="1:8">
      <c r="A77" s="8">
        <v>55</v>
      </c>
      <c r="B77" s="16">
        <v>44422.760682870372</v>
      </c>
      <c r="D77" s="8">
        <v>503</v>
      </c>
      <c r="E77" s="8">
        <v>2</v>
      </c>
    </row>
    <row r="78" spans="1:8">
      <c r="A78" s="8">
        <v>56</v>
      </c>
      <c r="B78" s="16">
        <v>44422.761111111111</v>
      </c>
      <c r="D78" s="8">
        <v>402</v>
      </c>
      <c r="E78" s="8">
        <v>2</v>
      </c>
      <c r="F78" t="s">
        <v>209</v>
      </c>
    </row>
    <row r="79" spans="1:8">
      <c r="A79" s="8">
        <v>57</v>
      </c>
    </row>
    <row r="80" spans="1:8">
      <c r="A80" s="8">
        <v>58</v>
      </c>
      <c r="C80" s="16">
        <v>44422.763680555552</v>
      </c>
      <c r="D80" s="8">
        <v>302</v>
      </c>
      <c r="E80" s="8">
        <v>-2</v>
      </c>
      <c r="H80" s="8" t="s">
        <v>129</v>
      </c>
    </row>
    <row r="81" spans="1:12">
      <c r="A81" s="8">
        <v>59</v>
      </c>
      <c r="B81" s="16">
        <v>44422.763981481483</v>
      </c>
      <c r="D81" s="8">
        <v>302</v>
      </c>
      <c r="E81" s="8">
        <v>2</v>
      </c>
      <c r="H81" s="84" t="s">
        <v>208</v>
      </c>
    </row>
    <row r="82" spans="1:12">
      <c r="A82" s="8">
        <v>60</v>
      </c>
      <c r="B82" s="16">
        <v>44422.765925925924</v>
      </c>
      <c r="D82" s="8">
        <v>104</v>
      </c>
      <c r="E82" s="8">
        <v>2</v>
      </c>
      <c r="H82" s="84">
        <v>87</v>
      </c>
      <c r="I82" s="85">
        <v>44422.762627314813</v>
      </c>
    </row>
    <row r="83" spans="1:12">
      <c r="A83" s="8">
        <v>61</v>
      </c>
      <c r="C83" s="16">
        <v>44422.768831018519</v>
      </c>
      <c r="D83" s="8">
        <v>208</v>
      </c>
      <c r="E83" s="8">
        <v>-4</v>
      </c>
    </row>
    <row r="84" spans="1:12">
      <c r="A84" s="8">
        <v>62</v>
      </c>
      <c r="B84" s="16">
        <v>44422.771874999999</v>
      </c>
      <c r="D84" s="84">
        <v>502</v>
      </c>
      <c r="E84" s="8">
        <v>2</v>
      </c>
    </row>
    <row r="85" spans="1:12">
      <c r="A85" s="8">
        <v>63</v>
      </c>
      <c r="C85" s="16">
        <v>44422.773379629631</v>
      </c>
      <c r="D85" s="84">
        <v>505</v>
      </c>
      <c r="E85" s="8">
        <v>-2</v>
      </c>
    </row>
    <row r="86" spans="1:12">
      <c r="A86" s="8">
        <v>64</v>
      </c>
      <c r="C86" s="16">
        <v>44422.797754629632</v>
      </c>
      <c r="D86" s="8">
        <v>501</v>
      </c>
      <c r="E86" s="8">
        <v>-3</v>
      </c>
    </row>
    <row r="87" spans="1:12">
      <c r="A87" s="8">
        <v>65</v>
      </c>
    </row>
    <row r="88" spans="1:12">
      <c r="A88" s="8">
        <v>66</v>
      </c>
    </row>
    <row r="89" spans="1:12">
      <c r="A89" s="8">
        <v>67</v>
      </c>
    </row>
    <row r="90" spans="1:12">
      <c r="A90" s="8">
        <v>68</v>
      </c>
      <c r="B90" s="86">
        <v>44422.772986111115</v>
      </c>
      <c r="C90" s="87" t="s">
        <v>203</v>
      </c>
      <c r="D90" s="84"/>
      <c r="E90" s="84"/>
    </row>
    <row r="91" spans="1:12">
      <c r="A91" s="8">
        <v>69</v>
      </c>
      <c r="H91" s="20" t="s">
        <v>229</v>
      </c>
    </row>
    <row r="92" spans="1:12">
      <c r="A92" s="8">
        <v>70</v>
      </c>
    </row>
    <row r="93" spans="1:12">
      <c r="A93" s="8">
        <v>71</v>
      </c>
      <c r="C93" s="16">
        <v>44422.849421296298</v>
      </c>
      <c r="D93" s="8" t="s">
        <v>214</v>
      </c>
      <c r="E93" s="8">
        <v>-2</v>
      </c>
      <c r="H93" s="8" t="s">
        <v>213</v>
      </c>
      <c r="K93" s="8" t="s">
        <v>129</v>
      </c>
    </row>
    <row r="94" spans="1:12">
      <c r="A94" s="8">
        <v>72</v>
      </c>
      <c r="C94" s="46">
        <v>44422.868113425924</v>
      </c>
      <c r="D94" s="8">
        <v>31</v>
      </c>
      <c r="E94" s="8">
        <v>-2</v>
      </c>
      <c r="F94" t="s">
        <v>224</v>
      </c>
      <c r="H94" s="88" t="s">
        <v>215</v>
      </c>
      <c r="I94" s="8" t="s">
        <v>130</v>
      </c>
    </row>
    <row r="95" spans="1:12">
      <c r="A95" s="8">
        <v>73</v>
      </c>
      <c r="C95" s="16">
        <v>44422.864386574074</v>
      </c>
      <c r="D95" s="8" t="s">
        <v>223</v>
      </c>
      <c r="E95" s="8">
        <v>-4</v>
      </c>
      <c r="H95" s="84">
        <v>67</v>
      </c>
      <c r="I95" s="17">
        <v>44422.840578703705</v>
      </c>
      <c r="K95" s="84">
        <v>99</v>
      </c>
      <c r="L95" s="17">
        <v>44422.850023148145</v>
      </c>
    </row>
    <row r="96" spans="1:12">
      <c r="A96" s="8">
        <v>74</v>
      </c>
      <c r="B96" s="16">
        <v>44422.872025462966</v>
      </c>
      <c r="D96" s="99" t="s">
        <v>223</v>
      </c>
      <c r="E96" s="8">
        <v>4</v>
      </c>
    </row>
    <row r="97" spans="1:5">
      <c r="A97" s="8">
        <v>75</v>
      </c>
      <c r="C97" s="16">
        <v>44422.901018518518</v>
      </c>
      <c r="D97" s="8">
        <v>32</v>
      </c>
      <c r="E97" s="8">
        <v>-2</v>
      </c>
    </row>
    <row r="98" spans="1:5">
      <c r="A98" s="8">
        <v>76</v>
      </c>
      <c r="B98" s="16">
        <v>44422.902488425927</v>
      </c>
      <c r="D98" s="8" t="s">
        <v>226</v>
      </c>
      <c r="E98" s="8">
        <v>2</v>
      </c>
    </row>
    <row r="99" spans="1:5">
      <c r="A99" s="8">
        <v>77</v>
      </c>
    </row>
    <row r="100" spans="1:5">
      <c r="A100" s="8">
        <v>78</v>
      </c>
    </row>
    <row r="101" spans="1:5">
      <c r="A101" s="8">
        <v>79</v>
      </c>
    </row>
    <row r="102" spans="1:5">
      <c r="A102" s="8">
        <v>80</v>
      </c>
    </row>
    <row r="103" spans="1:5">
      <c r="A103" s="8">
        <v>81</v>
      </c>
    </row>
    <row r="104" spans="1:5">
      <c r="A104" s="8">
        <v>82</v>
      </c>
    </row>
    <row r="105" spans="1:5">
      <c r="A105" s="8">
        <v>83</v>
      </c>
    </row>
    <row r="106" spans="1:5">
      <c r="A106" s="8">
        <v>84</v>
      </c>
    </row>
    <row r="107" spans="1:5">
      <c r="A107" s="8">
        <v>85</v>
      </c>
    </row>
    <row r="108" spans="1:5">
      <c r="A108" s="8">
        <v>86</v>
      </c>
    </row>
    <row r="109" spans="1:5">
      <c r="A109" s="8">
        <v>87</v>
      </c>
    </row>
    <row r="110" spans="1:5">
      <c r="A110" s="8">
        <v>88</v>
      </c>
    </row>
    <row r="111" spans="1:5">
      <c r="A111" s="8">
        <v>89</v>
      </c>
    </row>
    <row r="112" spans="1:5">
      <c r="A112" s="8">
        <v>90</v>
      </c>
    </row>
    <row r="113" spans="1:1">
      <c r="A113" s="8">
        <v>91</v>
      </c>
    </row>
    <row r="114" spans="1:1">
      <c r="A114" s="8">
        <v>92</v>
      </c>
    </row>
    <row r="115" spans="1:1">
      <c r="A115" s="8">
        <v>93</v>
      </c>
    </row>
    <row r="116" spans="1:1">
      <c r="A116" s="8">
        <v>94</v>
      </c>
    </row>
    <row r="117" spans="1:1">
      <c r="A117" s="8">
        <v>95</v>
      </c>
    </row>
    <row r="118" spans="1:1">
      <c r="A118" s="8">
        <v>96</v>
      </c>
    </row>
    <row r="119" spans="1:1">
      <c r="A119" s="8">
        <v>97</v>
      </c>
    </row>
    <row r="120" spans="1:1">
      <c r="A120" s="8">
        <v>98</v>
      </c>
    </row>
    <row r="121" spans="1:1">
      <c r="A121" s="8">
        <v>99</v>
      </c>
    </row>
    <row r="122" spans="1:1">
      <c r="A122" s="8">
        <v>100</v>
      </c>
    </row>
    <row r="123" spans="1:1">
      <c r="A123" s="8">
        <v>101</v>
      </c>
    </row>
    <row r="124" spans="1:1">
      <c r="A124" s="8">
        <v>102</v>
      </c>
    </row>
    <row r="125" spans="1:1">
      <c r="A125" s="8">
        <v>103</v>
      </c>
    </row>
    <row r="126" spans="1:1">
      <c r="A126" s="8">
        <v>104</v>
      </c>
    </row>
    <row r="127" spans="1:1">
      <c r="A127" s="8">
        <v>105</v>
      </c>
    </row>
    <row r="128" spans="1:1">
      <c r="A128" s="8">
        <v>106</v>
      </c>
    </row>
  </sheetData>
  <mergeCells count="1">
    <mergeCell ref="H21:I21"/>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2:M139"/>
  <sheetViews>
    <sheetView topLeftCell="A99" zoomScale="94" workbookViewId="0">
      <selection activeCell="H69" sqref="H69"/>
    </sheetView>
  </sheetViews>
  <sheetFormatPr defaultColWidth="11" defaultRowHeight="15.75"/>
  <cols>
    <col min="1" max="1" width="10.875" style="8"/>
    <col min="2" max="2" width="24.625" style="8" customWidth="1"/>
    <col min="3" max="3" width="26" style="16" customWidth="1"/>
    <col min="4" max="4" width="28.375" style="16" customWidth="1"/>
    <col min="5" max="5" width="37.5" style="8" customWidth="1"/>
  </cols>
  <sheetData>
    <row r="2" spans="1:6">
      <c r="A2" s="18" t="s">
        <v>85</v>
      </c>
    </row>
    <row r="4" spans="1:6">
      <c r="A4" s="19" t="s">
        <v>67</v>
      </c>
    </row>
    <row r="6" spans="1:6">
      <c r="A6" s="20" t="s">
        <v>101</v>
      </c>
    </row>
    <row r="8" spans="1:6">
      <c r="A8" s="8" t="s">
        <v>35</v>
      </c>
      <c r="B8" s="8" t="s">
        <v>99</v>
      </c>
      <c r="C8" s="16" t="s">
        <v>16</v>
      </c>
      <c r="D8" s="16" t="s">
        <v>17</v>
      </c>
      <c r="E8" s="47" t="s">
        <v>37</v>
      </c>
      <c r="F8" t="s">
        <v>190</v>
      </c>
    </row>
    <row r="9" spans="1:6">
      <c r="B9" s="8" t="s">
        <v>100</v>
      </c>
      <c r="C9" s="16">
        <v>44418.521770833337</v>
      </c>
      <c r="D9" s="16">
        <v>44418.522592592592</v>
      </c>
      <c r="E9" s="47" t="s">
        <v>127</v>
      </c>
    </row>
    <row r="10" spans="1:6">
      <c r="B10" s="8" t="s">
        <v>96</v>
      </c>
    </row>
    <row r="12" spans="1:6">
      <c r="A12" s="8">
        <v>1</v>
      </c>
      <c r="B12" s="8" t="s">
        <v>100</v>
      </c>
      <c r="C12" s="16">
        <v>44422.718587962961</v>
      </c>
      <c r="D12" s="16">
        <v>44422.719930555555</v>
      </c>
      <c r="F12" t="s">
        <v>195</v>
      </c>
    </row>
    <row r="13" spans="1:6">
      <c r="A13" s="8">
        <v>2</v>
      </c>
      <c r="B13" s="8" t="s">
        <v>100</v>
      </c>
      <c r="C13" s="16">
        <v>44422.733449074076</v>
      </c>
      <c r="D13" s="16">
        <v>44422.73505787037</v>
      </c>
      <c r="F13" t="s">
        <v>194</v>
      </c>
    </row>
    <row r="14" spans="1:6">
      <c r="A14" s="8">
        <v>3</v>
      </c>
      <c r="B14" s="8" t="s">
        <v>100</v>
      </c>
      <c r="C14" s="16">
        <v>44422.734756944446</v>
      </c>
      <c r="D14" s="16">
        <v>44422.735601851855</v>
      </c>
      <c r="F14" t="s">
        <v>195</v>
      </c>
    </row>
    <row r="15" spans="1:6">
      <c r="A15" s="8">
        <v>4</v>
      </c>
      <c r="B15" s="8" t="s">
        <v>100</v>
      </c>
      <c r="C15" s="16">
        <v>44422.73646990741</v>
      </c>
      <c r="D15" s="16">
        <v>44422.737928240742</v>
      </c>
      <c r="F15" t="s">
        <v>194</v>
      </c>
    </row>
    <row r="16" spans="1:6">
      <c r="A16" s="8">
        <v>5</v>
      </c>
      <c r="B16" s="8" t="s">
        <v>100</v>
      </c>
      <c r="C16" s="16">
        <v>44422.736655092594</v>
      </c>
      <c r="D16" s="16">
        <v>44422.736840277779</v>
      </c>
      <c r="F16" t="s">
        <v>195</v>
      </c>
    </row>
    <row r="17" spans="1:11">
      <c r="A17" s="8">
        <v>6</v>
      </c>
      <c r="B17" s="8" t="s">
        <v>100</v>
      </c>
      <c r="C17" s="16">
        <v>44422.747557870367</v>
      </c>
      <c r="D17" s="16">
        <v>44422.748530092591</v>
      </c>
      <c r="F17" t="s">
        <v>195</v>
      </c>
    </row>
    <row r="18" spans="1:11">
      <c r="A18" s="8">
        <v>7</v>
      </c>
      <c r="B18" s="8" t="s">
        <v>100</v>
      </c>
      <c r="C18" s="16">
        <v>44422.748530092591</v>
      </c>
      <c r="D18" s="16">
        <v>44422.750138888892</v>
      </c>
      <c r="F18" t="s">
        <v>195</v>
      </c>
    </row>
    <row r="19" spans="1:11">
      <c r="A19" s="8">
        <v>8</v>
      </c>
      <c r="B19" s="8" t="s">
        <v>100</v>
      </c>
      <c r="C19" s="16">
        <v>44422.763206018521</v>
      </c>
      <c r="D19" s="16">
        <v>44422.764618055553</v>
      </c>
      <c r="F19" t="s">
        <v>194</v>
      </c>
    </row>
    <row r="20" spans="1:11">
      <c r="A20" s="8">
        <v>9</v>
      </c>
      <c r="B20" s="8" t="s">
        <v>100</v>
      </c>
      <c r="C20" s="16">
        <v>44422.763298611113</v>
      </c>
      <c r="D20" s="16">
        <v>44422.766493055555</v>
      </c>
      <c r="F20" t="s">
        <v>194</v>
      </c>
    </row>
    <row r="21" spans="1:11">
      <c r="A21" s="8">
        <v>10</v>
      </c>
    </row>
    <row r="22" spans="1:11">
      <c r="A22" s="8">
        <v>11</v>
      </c>
      <c r="B22" s="84" t="s">
        <v>204</v>
      </c>
      <c r="C22" s="16" t="s">
        <v>205</v>
      </c>
      <c r="D22" s="16" t="s">
        <v>206</v>
      </c>
    </row>
    <row r="23" spans="1:11">
      <c r="A23" s="8">
        <v>12</v>
      </c>
      <c r="B23" s="8" t="s">
        <v>100</v>
      </c>
      <c r="C23" s="16">
        <v>44422.782361111109</v>
      </c>
      <c r="D23" s="16">
        <v>44422.784074074072</v>
      </c>
      <c r="F23" t="s">
        <v>194</v>
      </c>
    </row>
    <row r="24" spans="1:11">
      <c r="A24" s="8">
        <v>13</v>
      </c>
      <c r="B24" s="8" t="s">
        <v>100</v>
      </c>
      <c r="C24" s="16">
        <v>44422.786273148151</v>
      </c>
      <c r="D24" s="16">
        <v>44422.787210648145</v>
      </c>
      <c r="F24" t="s">
        <v>195</v>
      </c>
    </row>
    <row r="25" spans="1:11">
      <c r="A25" s="8">
        <v>14</v>
      </c>
      <c r="B25" s="8" t="s">
        <v>100</v>
      </c>
      <c r="C25" s="16">
        <v>44422.78565972222</v>
      </c>
      <c r="D25" s="16">
        <v>44422.78701388889</v>
      </c>
      <c r="F25" t="s">
        <v>194</v>
      </c>
    </row>
    <row r="26" spans="1:11">
      <c r="A26" s="8">
        <v>15</v>
      </c>
      <c r="B26" s="8" t="s">
        <v>100</v>
      </c>
      <c r="C26" s="16">
        <v>44422.788645833331</v>
      </c>
      <c r="D26" s="16">
        <v>44422.790648148148</v>
      </c>
      <c r="F26" t="s">
        <v>195</v>
      </c>
    </row>
    <row r="27" spans="1:11">
      <c r="A27" s="8">
        <v>16</v>
      </c>
      <c r="B27" s="8" t="s">
        <v>211</v>
      </c>
      <c r="C27" s="16" t="s">
        <v>212</v>
      </c>
    </row>
    <row r="28" spans="1:11">
      <c r="A28" s="8">
        <v>17</v>
      </c>
      <c r="B28" s="84" t="s">
        <v>204</v>
      </c>
      <c r="H28" t="s">
        <v>217</v>
      </c>
    </row>
    <row r="29" spans="1:11">
      <c r="A29" s="8">
        <v>18</v>
      </c>
    </row>
    <row r="30" spans="1:11">
      <c r="A30" s="83">
        <v>19</v>
      </c>
      <c r="B30" s="65" t="s">
        <v>100</v>
      </c>
      <c r="C30" s="95">
        <v>44422.843194444446</v>
      </c>
      <c r="D30" s="95">
        <v>44422.844699074078</v>
      </c>
      <c r="E30" s="65"/>
      <c r="F30" s="67" t="s">
        <v>194</v>
      </c>
      <c r="G30" s="67"/>
      <c r="H30" s="96" t="s">
        <v>216</v>
      </c>
      <c r="I30" s="97"/>
      <c r="J30" s="67"/>
      <c r="K30" s="67"/>
    </row>
    <row r="31" spans="1:11">
      <c r="A31" s="8">
        <v>20</v>
      </c>
      <c r="B31" s="8" t="s">
        <v>100</v>
      </c>
      <c r="C31" s="16">
        <v>44422.843310185184</v>
      </c>
      <c r="D31" s="16">
        <v>44422.845185185186</v>
      </c>
      <c r="F31" t="s">
        <v>194</v>
      </c>
    </row>
    <row r="32" spans="1:11">
      <c r="A32" s="8">
        <v>21</v>
      </c>
      <c r="B32" s="8" t="s">
        <v>100</v>
      </c>
      <c r="C32" s="16">
        <v>44422.843252314815</v>
      </c>
      <c r="D32" s="16">
        <v>44422.844513888886</v>
      </c>
      <c r="F32" t="s">
        <v>195</v>
      </c>
    </row>
    <row r="33" spans="1:6">
      <c r="A33" s="8">
        <v>22</v>
      </c>
      <c r="B33" s="8" t="s">
        <v>100</v>
      </c>
      <c r="C33" s="16">
        <v>44422.844548611109</v>
      </c>
      <c r="D33" s="16">
        <v>44422.845821759256</v>
      </c>
      <c r="F33" t="s">
        <v>194</v>
      </c>
    </row>
    <row r="34" spans="1:6">
      <c r="A34" s="8">
        <v>23</v>
      </c>
      <c r="B34" s="8" t="s">
        <v>100</v>
      </c>
      <c r="C34" s="16">
        <v>44422.844930555555</v>
      </c>
      <c r="D34" s="16">
        <v>44422.846099537041</v>
      </c>
      <c r="F34" t="s">
        <v>195</v>
      </c>
    </row>
    <row r="35" spans="1:6">
      <c r="A35" s="8">
        <v>24</v>
      </c>
      <c r="B35" s="8" t="s">
        <v>100</v>
      </c>
      <c r="C35" s="16">
        <v>44422.845127314817</v>
      </c>
      <c r="D35" s="16">
        <v>44422.846516203703</v>
      </c>
      <c r="F35" t="s">
        <v>194</v>
      </c>
    </row>
    <row r="36" spans="1:6">
      <c r="A36" s="8">
        <v>25</v>
      </c>
      <c r="B36" s="8" t="s">
        <v>100</v>
      </c>
      <c r="C36" s="16">
        <v>44422.845509259256</v>
      </c>
      <c r="D36" s="16">
        <v>44422.846006944441</v>
      </c>
      <c r="F36" t="s">
        <v>195</v>
      </c>
    </row>
    <row r="37" spans="1:6">
      <c r="A37" s="8">
        <v>26</v>
      </c>
      <c r="B37" s="47" t="s">
        <v>96</v>
      </c>
      <c r="C37" s="16">
        <v>44422.846365740741</v>
      </c>
      <c r="D37" s="16">
        <v>44422.847291666665</v>
      </c>
      <c r="F37" t="s">
        <v>195</v>
      </c>
    </row>
    <row r="38" spans="1:6">
      <c r="A38" s="8">
        <v>27</v>
      </c>
      <c r="B38" s="8" t="s">
        <v>100</v>
      </c>
      <c r="C38" s="16">
        <v>44422.847685185188</v>
      </c>
      <c r="D38" s="16">
        <v>44422.849282407406</v>
      </c>
      <c r="F38" t="s">
        <v>194</v>
      </c>
    </row>
    <row r="39" spans="1:6">
      <c r="A39" s="8">
        <v>28</v>
      </c>
      <c r="B39" s="8" t="s">
        <v>100</v>
      </c>
      <c r="C39" s="16">
        <v>44422.849699074075</v>
      </c>
      <c r="D39" s="16">
        <v>44422.850821759261</v>
      </c>
      <c r="F39" t="s">
        <v>194</v>
      </c>
    </row>
    <row r="40" spans="1:6">
      <c r="A40" s="8">
        <v>29</v>
      </c>
      <c r="B40" s="8" t="s">
        <v>100</v>
      </c>
      <c r="C40" s="16">
        <v>44422.84983796296</v>
      </c>
      <c r="D40" s="16">
        <v>44422.850949074076</v>
      </c>
      <c r="F40" t="s">
        <v>195</v>
      </c>
    </row>
    <row r="41" spans="1:6">
      <c r="A41" s="8">
        <v>30</v>
      </c>
      <c r="B41" s="8" t="s">
        <v>100</v>
      </c>
      <c r="C41" s="16">
        <v>44422.850219907406</v>
      </c>
      <c r="D41" s="16">
        <v>44422.852048611108</v>
      </c>
      <c r="F41" t="s">
        <v>194</v>
      </c>
    </row>
    <row r="42" spans="1:6">
      <c r="A42" s="8">
        <v>31</v>
      </c>
      <c r="B42" s="8" t="s">
        <v>100</v>
      </c>
      <c r="C42" s="16">
        <v>44422.850416666668</v>
      </c>
      <c r="D42" s="16">
        <v>44422.851539351854</v>
      </c>
      <c r="F42" t="s">
        <v>195</v>
      </c>
    </row>
    <row r="43" spans="1:6">
      <c r="A43" s="8">
        <v>32</v>
      </c>
      <c r="B43" s="8" t="s">
        <v>100</v>
      </c>
      <c r="C43" s="16">
        <v>44422.852083333331</v>
      </c>
      <c r="D43" s="16">
        <v>44422.854108796295</v>
      </c>
      <c r="F43" t="s">
        <v>194</v>
      </c>
    </row>
    <row r="44" spans="1:6">
      <c r="A44" s="8">
        <v>33</v>
      </c>
      <c r="B44" s="8" t="s">
        <v>100</v>
      </c>
      <c r="C44" s="16">
        <v>44422.852094907408</v>
      </c>
      <c r="D44" s="16">
        <v>44422.853495370371</v>
      </c>
      <c r="F44" t="s">
        <v>195</v>
      </c>
    </row>
    <row r="45" spans="1:6">
      <c r="A45" s="8">
        <v>34</v>
      </c>
      <c r="B45" s="8" t="s">
        <v>100</v>
      </c>
      <c r="C45" s="16">
        <v>44422.852685185186</v>
      </c>
      <c r="D45" s="16">
        <v>44422.854212962964</v>
      </c>
      <c r="F45" t="s">
        <v>194</v>
      </c>
    </row>
    <row r="46" spans="1:6">
      <c r="A46" s="8">
        <v>35</v>
      </c>
      <c r="B46" s="8" t="s">
        <v>100</v>
      </c>
      <c r="C46" s="16">
        <v>44422.85434027778</v>
      </c>
      <c r="D46" s="16">
        <v>44422.85533564815</v>
      </c>
      <c r="F46" t="s">
        <v>195</v>
      </c>
    </row>
    <row r="47" spans="1:6" ht="16.5" thickBot="1">
      <c r="A47" s="8">
        <v>36</v>
      </c>
      <c r="B47" s="8" t="s">
        <v>100</v>
      </c>
      <c r="C47" s="16">
        <v>44422.854791666665</v>
      </c>
      <c r="D47" s="16">
        <v>44422.856122685182</v>
      </c>
      <c r="F47" t="s">
        <v>194</v>
      </c>
    </row>
    <row r="48" spans="1:6">
      <c r="A48" s="8">
        <v>37</v>
      </c>
      <c r="B48" s="8" t="s">
        <v>100</v>
      </c>
      <c r="C48" s="89">
        <v>44422.854837962965</v>
      </c>
      <c r="D48" s="23">
        <v>44422.857731481483</v>
      </c>
      <c r="E48" s="90"/>
      <c r="F48" s="37" t="s">
        <v>195</v>
      </c>
    </row>
    <row r="49" spans="1:13" ht="16.5" thickBot="1">
      <c r="A49" s="8">
        <v>38</v>
      </c>
      <c r="B49" s="8" t="s">
        <v>100</v>
      </c>
      <c r="C49" s="91">
        <v>44422.854861111111</v>
      </c>
      <c r="D49" s="29">
        <v>44422.857743055552</v>
      </c>
      <c r="E49" s="92"/>
      <c r="F49" s="43" t="s">
        <v>195</v>
      </c>
    </row>
    <row r="50" spans="1:13">
      <c r="A50" s="8">
        <v>39</v>
      </c>
      <c r="B50" s="8" t="s">
        <v>100</v>
      </c>
      <c r="C50" s="16">
        <v>44422.855543981481</v>
      </c>
      <c r="D50" s="16">
        <v>44422.857141203705</v>
      </c>
      <c r="F50" t="s">
        <v>194</v>
      </c>
    </row>
    <row r="51" spans="1:13">
      <c r="A51" s="8">
        <v>40</v>
      </c>
      <c r="B51" s="8" t="s">
        <v>100</v>
      </c>
      <c r="C51" s="16">
        <v>44422.856886574074</v>
      </c>
      <c r="D51" s="16">
        <v>44422.857662037037</v>
      </c>
      <c r="F51" t="s">
        <v>195</v>
      </c>
    </row>
    <row r="52" spans="1:13">
      <c r="A52" s="8">
        <v>41</v>
      </c>
      <c r="B52" s="47" t="s">
        <v>96</v>
      </c>
      <c r="C52" s="16">
        <v>44422.856932870367</v>
      </c>
      <c r="D52" s="16">
        <v>44422.858067129629</v>
      </c>
      <c r="F52" t="s">
        <v>194</v>
      </c>
    </row>
    <row r="53" spans="1:13">
      <c r="A53" s="8">
        <v>42</v>
      </c>
      <c r="B53" s="8" t="s">
        <v>100</v>
      </c>
      <c r="C53" s="16">
        <v>44422.85728009259</v>
      </c>
      <c r="D53" s="16">
        <v>44422.858449074076</v>
      </c>
      <c r="F53" t="s">
        <v>194</v>
      </c>
    </row>
    <row r="54" spans="1:13">
      <c r="A54" s="8">
        <v>43</v>
      </c>
      <c r="B54" s="8" t="s">
        <v>100</v>
      </c>
      <c r="C54" s="16">
        <v>44422.858310185184</v>
      </c>
      <c r="D54" s="16">
        <v>44422.86005787037</v>
      </c>
      <c r="F54" t="s">
        <v>194</v>
      </c>
    </row>
    <row r="55" spans="1:13">
      <c r="A55" s="8">
        <v>44</v>
      </c>
      <c r="B55" s="8" t="s">
        <v>100</v>
      </c>
      <c r="C55" s="16">
        <v>44422.859525462962</v>
      </c>
      <c r="D55" s="16">
        <v>44422.860891203702</v>
      </c>
      <c r="F55" t="s">
        <v>195</v>
      </c>
    </row>
    <row r="56" spans="1:13">
      <c r="A56" s="8">
        <v>45</v>
      </c>
      <c r="B56" s="8" t="s">
        <v>100</v>
      </c>
      <c r="C56" s="16">
        <v>44422.859571759262</v>
      </c>
      <c r="D56" s="16">
        <v>44422.861296296294</v>
      </c>
      <c r="F56" t="s">
        <v>194</v>
      </c>
    </row>
    <row r="57" spans="1:13">
      <c r="A57" s="8">
        <v>46</v>
      </c>
      <c r="B57" s="8" t="s">
        <v>100</v>
      </c>
      <c r="C57" s="16">
        <v>44422.860358796293</v>
      </c>
      <c r="D57" s="16">
        <v>44422.861712962964</v>
      </c>
      <c r="F57" t="s">
        <v>195</v>
      </c>
    </row>
    <row r="58" spans="1:13">
      <c r="A58" s="8">
        <v>47</v>
      </c>
      <c r="B58" s="8" t="s">
        <v>100</v>
      </c>
      <c r="C58" s="16">
        <v>44422.861793981479</v>
      </c>
      <c r="D58" s="16">
        <v>44422.863506944443</v>
      </c>
      <c r="F58" t="s">
        <v>195</v>
      </c>
    </row>
    <row r="59" spans="1:13">
      <c r="A59" s="8">
        <v>48</v>
      </c>
      <c r="B59" s="8" t="s">
        <v>100</v>
      </c>
      <c r="C59" s="16">
        <v>44422.861898148149</v>
      </c>
      <c r="D59" s="16">
        <v>44422.863125000003</v>
      </c>
      <c r="F59" t="s">
        <v>195</v>
      </c>
    </row>
    <row r="60" spans="1:13">
      <c r="A60" s="8">
        <v>49</v>
      </c>
      <c r="B60" s="8" t="s">
        <v>100</v>
      </c>
      <c r="C60" s="16">
        <v>44422.861967592595</v>
      </c>
      <c r="D60" s="16">
        <v>44422.863333333335</v>
      </c>
      <c r="F60" t="s">
        <v>194</v>
      </c>
    </row>
    <row r="61" spans="1:13">
      <c r="A61" s="8">
        <v>50</v>
      </c>
      <c r="B61" s="8" t="s">
        <v>100</v>
      </c>
      <c r="C61" s="16">
        <v>44422.86278935185</v>
      </c>
      <c r="D61" s="16">
        <v>44422.864016203705</v>
      </c>
      <c r="F61" t="s">
        <v>194</v>
      </c>
    </row>
    <row r="62" spans="1:13" ht="16.5" thickBot="1">
      <c r="A62" s="93">
        <v>51</v>
      </c>
      <c r="B62" s="92" t="s">
        <v>100</v>
      </c>
      <c r="C62" s="29">
        <v>44422.864074074074</v>
      </c>
      <c r="D62" s="29">
        <v>44422.865335648145</v>
      </c>
      <c r="E62" s="92"/>
      <c r="F62" s="42" t="s">
        <v>195</v>
      </c>
      <c r="G62" s="42"/>
      <c r="H62" s="94" t="s">
        <v>218</v>
      </c>
      <c r="I62" s="42"/>
      <c r="J62" s="42"/>
      <c r="K62" s="42" t="s">
        <v>219</v>
      </c>
      <c r="L62" s="42"/>
      <c r="M62" s="42"/>
    </row>
    <row r="63" spans="1:13">
      <c r="A63" s="8">
        <v>52</v>
      </c>
      <c r="B63" s="8" t="s">
        <v>100</v>
      </c>
      <c r="C63" s="16">
        <v>44422.864618055559</v>
      </c>
      <c r="D63" s="16">
        <v>44422.86577546296</v>
      </c>
      <c r="F63" t="s">
        <v>194</v>
      </c>
    </row>
    <row r="64" spans="1:13">
      <c r="A64" s="8">
        <v>53</v>
      </c>
      <c r="B64" s="8" t="s">
        <v>100</v>
      </c>
      <c r="C64" s="16">
        <v>44422.864652777775</v>
      </c>
      <c r="D64" s="16">
        <v>44422.865706018521</v>
      </c>
      <c r="F64" t="s">
        <v>195</v>
      </c>
    </row>
    <row r="65" spans="1:8">
      <c r="A65" s="8">
        <v>54</v>
      </c>
      <c r="B65" s="8" t="s">
        <v>100</v>
      </c>
      <c r="C65" s="16">
        <v>44422.866076388891</v>
      </c>
      <c r="D65" s="16">
        <v>44422.867974537039</v>
      </c>
      <c r="F65" t="s">
        <v>195</v>
      </c>
    </row>
    <row r="66" spans="1:8">
      <c r="A66" s="8">
        <v>55</v>
      </c>
      <c r="B66" s="8" t="s">
        <v>100</v>
      </c>
      <c r="C66" s="16">
        <v>44422.866168981483</v>
      </c>
      <c r="D66" s="16">
        <v>44422.867615740739</v>
      </c>
      <c r="F66" t="s">
        <v>194</v>
      </c>
    </row>
    <row r="67" spans="1:8">
      <c r="A67" s="8">
        <v>56</v>
      </c>
      <c r="B67" s="8" t="s">
        <v>100</v>
      </c>
      <c r="C67" s="16">
        <v>44422.866666666669</v>
      </c>
      <c r="D67" s="16">
        <v>44422.870949074073</v>
      </c>
      <c r="F67" t="s">
        <v>195</v>
      </c>
    </row>
    <row r="68" spans="1:8">
      <c r="A68" s="8">
        <v>57</v>
      </c>
      <c r="B68" s="8" t="s">
        <v>100</v>
      </c>
      <c r="C68" s="16">
        <v>44422.868252314816</v>
      </c>
      <c r="D68" s="16">
        <v>44422.869143518517</v>
      </c>
      <c r="F68" t="s">
        <v>195</v>
      </c>
      <c r="H68" t="s">
        <v>230</v>
      </c>
    </row>
    <row r="69" spans="1:8">
      <c r="A69" s="8">
        <v>58</v>
      </c>
      <c r="B69" s="8" t="s">
        <v>100</v>
      </c>
      <c r="C69" s="16">
        <v>44422.868310185186</v>
      </c>
      <c r="D69" s="16">
        <v>44422.869606481479</v>
      </c>
      <c r="F69" t="s">
        <v>194</v>
      </c>
    </row>
    <row r="70" spans="1:8">
      <c r="A70" s="8">
        <v>59</v>
      </c>
      <c r="B70" s="8" t="s">
        <v>100</v>
      </c>
      <c r="C70" s="16">
        <v>44422.868530092594</v>
      </c>
      <c r="D70" s="16">
        <v>44422.869826388887</v>
      </c>
      <c r="F70" t="s">
        <v>194</v>
      </c>
    </row>
    <row r="71" spans="1:8">
      <c r="A71" s="8">
        <v>60</v>
      </c>
      <c r="B71" s="8" t="s">
        <v>100</v>
      </c>
      <c r="C71" s="98">
        <v>44422.871550925927</v>
      </c>
      <c r="D71" s="98">
        <v>44422.872361111113</v>
      </c>
      <c r="F71" t="s">
        <v>195</v>
      </c>
      <c r="H71" t="s">
        <v>225</v>
      </c>
    </row>
    <row r="72" spans="1:8">
      <c r="A72" s="8">
        <v>61</v>
      </c>
      <c r="B72" s="8" t="s">
        <v>100</v>
      </c>
      <c r="C72" s="46">
        <v>44422.871770833335</v>
      </c>
      <c r="D72" s="98">
        <v>44422.872708333336</v>
      </c>
      <c r="F72" t="s">
        <v>195</v>
      </c>
      <c r="H72" t="s">
        <v>225</v>
      </c>
    </row>
    <row r="73" spans="1:8">
      <c r="A73" s="8">
        <v>62</v>
      </c>
      <c r="B73" s="47" t="s">
        <v>96</v>
      </c>
      <c r="C73" s="16">
        <v>44422.872418981482</v>
      </c>
      <c r="D73" s="16">
        <v>44422.873032407406</v>
      </c>
      <c r="F73" t="s">
        <v>195</v>
      </c>
    </row>
    <row r="74" spans="1:8">
      <c r="A74" s="8">
        <v>63</v>
      </c>
      <c r="B74" s="8" t="s">
        <v>100</v>
      </c>
      <c r="C74" s="46">
        <v>44422.872557870367</v>
      </c>
      <c r="D74" s="16">
        <v>44422.874155092592</v>
      </c>
      <c r="F74" t="s">
        <v>194</v>
      </c>
      <c r="H74" t="s">
        <v>220</v>
      </c>
    </row>
    <row r="75" spans="1:8">
      <c r="A75" s="8">
        <v>64</v>
      </c>
      <c r="B75" s="8" t="s">
        <v>100</v>
      </c>
      <c r="C75" s="16">
        <v>44422.873067129629</v>
      </c>
      <c r="D75" s="16">
        <v>44422.875069444446</v>
      </c>
      <c r="F75" t="s">
        <v>194</v>
      </c>
    </row>
    <row r="76" spans="1:8">
      <c r="A76" s="8">
        <v>65</v>
      </c>
      <c r="B76" s="8" t="s">
        <v>100</v>
      </c>
      <c r="C76" s="16">
        <v>44422.873229166667</v>
      </c>
      <c r="D76" s="16">
        <v>44422.875092592592</v>
      </c>
      <c r="F76" t="s">
        <v>194</v>
      </c>
    </row>
    <row r="77" spans="1:8">
      <c r="A77" s="8">
        <v>66</v>
      </c>
      <c r="B77" s="8" t="s">
        <v>100</v>
      </c>
      <c r="C77" s="16">
        <v>44422.874236111114</v>
      </c>
      <c r="D77" s="16">
        <v>44422.875231481485</v>
      </c>
      <c r="F77" t="s">
        <v>194</v>
      </c>
    </row>
    <row r="78" spans="1:8">
      <c r="A78" s="8">
        <v>67</v>
      </c>
      <c r="B78" s="8" t="s">
        <v>100</v>
      </c>
      <c r="C78" s="16">
        <v>44422.874652777777</v>
      </c>
      <c r="D78" s="16">
        <v>44422.875821759262</v>
      </c>
      <c r="F78" t="s">
        <v>194</v>
      </c>
    </row>
    <row r="79" spans="1:8">
      <c r="A79" s="8">
        <v>68</v>
      </c>
      <c r="B79" s="8" t="s">
        <v>100</v>
      </c>
      <c r="C79" s="16">
        <v>44422.876215277778</v>
      </c>
      <c r="D79" s="16">
        <v>44422.877604166664</v>
      </c>
      <c r="F79" t="s">
        <v>195</v>
      </c>
    </row>
    <row r="80" spans="1:8">
      <c r="A80" s="8">
        <v>69</v>
      </c>
      <c r="B80" s="47" t="s">
        <v>96</v>
      </c>
      <c r="C80" s="16">
        <v>44422.876527777778</v>
      </c>
      <c r="D80" s="16">
        <v>44422.877847222226</v>
      </c>
      <c r="F80" t="s">
        <v>195</v>
      </c>
    </row>
    <row r="81" spans="1:13">
      <c r="A81" s="8">
        <v>70</v>
      </c>
      <c r="B81" s="8" t="s">
        <v>100</v>
      </c>
      <c r="C81" s="16">
        <v>44422.87809027778</v>
      </c>
      <c r="D81" s="16">
        <v>44422.879583333335</v>
      </c>
      <c r="F81" t="s">
        <v>194</v>
      </c>
      <c r="G81" t="s">
        <v>221</v>
      </c>
    </row>
    <row r="82" spans="1:13">
      <c r="A82" s="8">
        <v>71</v>
      </c>
      <c r="B82" s="8" t="s">
        <v>100</v>
      </c>
      <c r="C82" s="16">
        <v>44422.878182870372</v>
      </c>
      <c r="D82" s="16">
        <v>44422.878993055558</v>
      </c>
      <c r="F82" t="s">
        <v>195</v>
      </c>
    </row>
    <row r="83" spans="1:13">
      <c r="A83" s="8">
        <v>72</v>
      </c>
      <c r="B83" s="47" t="s">
        <v>96</v>
      </c>
      <c r="C83" s="16">
        <v>44422.878761574073</v>
      </c>
      <c r="D83" s="16">
        <v>44422.881122685183</v>
      </c>
      <c r="F83" t="s">
        <v>194</v>
      </c>
    </row>
    <row r="84" spans="1:13">
      <c r="A84" s="8">
        <v>73</v>
      </c>
      <c r="B84" s="8" t="s">
        <v>100</v>
      </c>
      <c r="C84" s="16">
        <v>44422.878842592596</v>
      </c>
      <c r="D84" s="16">
        <v>44422.880185185182</v>
      </c>
      <c r="F84" t="s">
        <v>195</v>
      </c>
    </row>
    <row r="85" spans="1:13">
      <c r="A85" s="8">
        <v>74</v>
      </c>
      <c r="B85" s="8" t="s">
        <v>100</v>
      </c>
      <c r="C85" s="16">
        <v>44422.879918981482</v>
      </c>
      <c r="D85" s="16">
        <v>44422.881932870368</v>
      </c>
      <c r="F85" t="s">
        <v>194</v>
      </c>
    </row>
    <row r="86" spans="1:13">
      <c r="A86" s="8">
        <v>75</v>
      </c>
      <c r="B86" s="8" t="s">
        <v>100</v>
      </c>
      <c r="C86" s="16">
        <v>44422.88177083333</v>
      </c>
      <c r="D86" s="16">
        <v>44422.882268518515</v>
      </c>
      <c r="F86" t="s">
        <v>194</v>
      </c>
    </row>
    <row r="87" spans="1:13">
      <c r="A87" s="8">
        <v>76</v>
      </c>
      <c r="B87" s="8" t="s">
        <v>100</v>
      </c>
      <c r="C87" s="16">
        <v>44422.881898148145</v>
      </c>
      <c r="D87" s="16">
        <v>44422.883391203701</v>
      </c>
      <c r="F87" t="s">
        <v>194</v>
      </c>
    </row>
    <row r="88" spans="1:13">
      <c r="A88" s="8">
        <v>77</v>
      </c>
      <c r="B88" s="8" t="s">
        <v>100</v>
      </c>
      <c r="C88" s="16">
        <v>44422.882326388892</v>
      </c>
      <c r="D88" s="16">
        <v>44422.883414351854</v>
      </c>
      <c r="F88" t="s">
        <v>195</v>
      </c>
    </row>
    <row r="89" spans="1:13">
      <c r="A89" s="8">
        <v>78</v>
      </c>
      <c r="B89" s="8" t="s">
        <v>100</v>
      </c>
      <c r="C89" s="16">
        <v>44422.882465277777</v>
      </c>
      <c r="D89" s="16">
        <v>44422.884236111109</v>
      </c>
      <c r="F89" t="s">
        <v>194</v>
      </c>
    </row>
    <row r="90" spans="1:13">
      <c r="A90" s="8">
        <v>79</v>
      </c>
      <c r="B90" s="8" t="s">
        <v>100</v>
      </c>
      <c r="C90" s="16">
        <v>44422.882534722223</v>
      </c>
      <c r="D90" s="16">
        <v>44422.883692129632</v>
      </c>
      <c r="F90" t="s">
        <v>195</v>
      </c>
    </row>
    <row r="91" spans="1:13">
      <c r="A91" s="8">
        <v>80</v>
      </c>
      <c r="B91" s="8" t="s">
        <v>100</v>
      </c>
      <c r="C91" s="16">
        <v>44422.882569444446</v>
      </c>
      <c r="D91" s="16">
        <v>44422.884988425925</v>
      </c>
      <c r="F91" t="s">
        <v>194</v>
      </c>
    </row>
    <row r="92" spans="1:13">
      <c r="A92" s="8">
        <v>81</v>
      </c>
      <c r="B92" s="8" t="s">
        <v>100</v>
      </c>
      <c r="C92" s="16">
        <v>44422.882719907408</v>
      </c>
      <c r="D92" s="16">
        <v>44422.884259259263</v>
      </c>
      <c r="F92" t="s">
        <v>195</v>
      </c>
    </row>
    <row r="93" spans="1:13">
      <c r="A93" s="8">
        <v>82</v>
      </c>
      <c r="B93" s="8" t="s">
        <v>100</v>
      </c>
      <c r="C93" s="16">
        <v>44422.883611111109</v>
      </c>
      <c r="D93" s="16">
        <v>44422.884699074071</v>
      </c>
      <c r="F93" t="s">
        <v>195</v>
      </c>
    </row>
    <row r="94" spans="1:13">
      <c r="A94" s="8">
        <v>83</v>
      </c>
      <c r="B94" s="8" t="s">
        <v>100</v>
      </c>
      <c r="C94" s="16">
        <v>44422.884884259256</v>
      </c>
      <c r="D94" s="16">
        <v>44422.886238425926</v>
      </c>
      <c r="F94" t="s">
        <v>194</v>
      </c>
    </row>
    <row r="95" spans="1:13" ht="16.5" thickBot="1">
      <c r="A95" s="92">
        <v>84</v>
      </c>
      <c r="B95" s="92" t="s">
        <v>100</v>
      </c>
      <c r="C95" s="29">
        <v>44422.884247685186</v>
      </c>
      <c r="D95" s="29">
        <v>44422.88554398148</v>
      </c>
      <c r="E95" s="92"/>
      <c r="F95" s="42" t="s">
        <v>195</v>
      </c>
      <c r="G95" s="42"/>
      <c r="H95" s="94" t="s">
        <v>218</v>
      </c>
      <c r="I95" s="42"/>
      <c r="J95" s="42"/>
      <c r="K95" s="42" t="s">
        <v>222</v>
      </c>
      <c r="L95" s="42"/>
      <c r="M95" s="42"/>
    </row>
    <row r="96" spans="1:13">
      <c r="A96" s="8">
        <v>85</v>
      </c>
      <c r="B96" s="8" t="s">
        <v>100</v>
      </c>
      <c r="C96" s="16">
        <v>44422.886423611111</v>
      </c>
      <c r="D96" s="16">
        <v>44422.887488425928</v>
      </c>
      <c r="F96" t="s">
        <v>194</v>
      </c>
    </row>
    <row r="97" spans="1:6">
      <c r="A97" s="8">
        <v>86</v>
      </c>
      <c r="B97" s="8" t="s">
        <v>100</v>
      </c>
      <c r="C97" s="16">
        <v>44422.886562500003</v>
      </c>
      <c r="D97" s="16">
        <v>44422.887789351851</v>
      </c>
      <c r="F97" t="s">
        <v>194</v>
      </c>
    </row>
    <row r="98" spans="1:6">
      <c r="A98" s="8">
        <v>87</v>
      </c>
      <c r="B98" s="8" t="s">
        <v>100</v>
      </c>
      <c r="C98" s="16">
        <v>44422.887708333335</v>
      </c>
      <c r="D98" s="16">
        <v>44422.88925925926</v>
      </c>
      <c r="F98" t="s">
        <v>194</v>
      </c>
    </row>
    <row r="99" spans="1:6">
      <c r="A99" s="8">
        <v>88</v>
      </c>
      <c r="B99" s="8" t="s">
        <v>100</v>
      </c>
      <c r="C99" s="16">
        <v>44422.887719907405</v>
      </c>
      <c r="D99" s="16">
        <v>44422.889236111114</v>
      </c>
      <c r="F99" t="s">
        <v>195</v>
      </c>
    </row>
    <row r="100" spans="1:6">
      <c r="A100" s="8">
        <v>89</v>
      </c>
      <c r="B100" s="47" t="s">
        <v>96</v>
      </c>
      <c r="C100" s="16">
        <v>44422.888136574074</v>
      </c>
      <c r="D100" s="16">
        <v>44422.889421296299</v>
      </c>
      <c r="F100" t="s">
        <v>195</v>
      </c>
    </row>
    <row r="101" spans="1:6">
      <c r="A101" s="8">
        <v>90</v>
      </c>
      <c r="B101" s="8" t="s">
        <v>100</v>
      </c>
      <c r="C101" s="16">
        <v>44422.888495370367</v>
      </c>
      <c r="D101" s="16">
        <v>44422.890092592592</v>
      </c>
      <c r="F101" t="s">
        <v>194</v>
      </c>
    </row>
    <row r="102" spans="1:6">
      <c r="A102" s="8">
        <v>91</v>
      </c>
      <c r="B102" s="47" t="s">
        <v>96</v>
      </c>
      <c r="C102" s="16">
        <v>44422.889525462961</v>
      </c>
      <c r="D102" s="16">
        <v>44422.890011574076</v>
      </c>
      <c r="F102" t="s">
        <v>195</v>
      </c>
    </row>
    <row r="103" spans="1:6">
      <c r="A103" s="8">
        <v>92</v>
      </c>
      <c r="B103" s="8" t="s">
        <v>100</v>
      </c>
      <c r="C103" s="16">
        <v>44422.889618055553</v>
      </c>
      <c r="D103" s="16">
        <v>44422.891238425924</v>
      </c>
      <c r="F103" t="s">
        <v>195</v>
      </c>
    </row>
    <row r="104" spans="1:6">
      <c r="A104" s="8">
        <v>93</v>
      </c>
      <c r="B104" s="8" t="s">
        <v>100</v>
      </c>
      <c r="C104" s="16">
        <v>44422.890138888892</v>
      </c>
      <c r="D104" s="16">
        <v>44422.891273148147</v>
      </c>
      <c r="F104" t="s">
        <v>194</v>
      </c>
    </row>
    <row r="105" spans="1:6">
      <c r="A105" s="8">
        <v>94</v>
      </c>
      <c r="B105" s="8" t="s">
        <v>100</v>
      </c>
      <c r="C105" s="16">
        <v>44422.890173611115</v>
      </c>
      <c r="D105" s="16">
        <v>44422.892025462963</v>
      </c>
      <c r="F105" t="s">
        <v>194</v>
      </c>
    </row>
    <row r="106" spans="1:6">
      <c r="A106" s="8">
        <v>95</v>
      </c>
      <c r="B106" s="8" t="s">
        <v>100</v>
      </c>
      <c r="C106" s="16">
        <v>44422.890335648146</v>
      </c>
      <c r="D106" s="16">
        <v>44422.891770833332</v>
      </c>
      <c r="F106" t="s">
        <v>195</v>
      </c>
    </row>
    <row r="107" spans="1:6">
      <c r="A107" s="8">
        <v>96</v>
      </c>
      <c r="B107" s="8" t="s">
        <v>100</v>
      </c>
      <c r="C107" s="16">
        <v>44422.890393518515</v>
      </c>
      <c r="D107" s="16">
        <v>44422.891793981478</v>
      </c>
      <c r="F107" t="s">
        <v>195</v>
      </c>
    </row>
    <row r="108" spans="1:6">
      <c r="A108" s="8">
        <v>97</v>
      </c>
      <c r="B108" s="8" t="s">
        <v>100</v>
      </c>
      <c r="C108" s="16">
        <v>44422.890648148146</v>
      </c>
      <c r="D108" s="16">
        <v>44422.892708333333</v>
      </c>
      <c r="F108" t="s">
        <v>194</v>
      </c>
    </row>
    <row r="109" spans="1:6">
      <c r="A109" s="8">
        <v>98</v>
      </c>
      <c r="B109" s="8" t="s">
        <v>100</v>
      </c>
      <c r="C109" s="16">
        <v>44422.89234953704</v>
      </c>
      <c r="D109" s="16">
        <v>44422.893518518518</v>
      </c>
      <c r="F109" t="s">
        <v>195</v>
      </c>
    </row>
    <row r="110" spans="1:6">
      <c r="A110" s="8">
        <v>99</v>
      </c>
      <c r="B110" s="8" t="s">
        <v>100</v>
      </c>
      <c r="C110" s="16">
        <v>44422.892754629633</v>
      </c>
      <c r="D110" s="16">
        <v>44422.893773148149</v>
      </c>
      <c r="F110" t="s">
        <v>195</v>
      </c>
    </row>
    <row r="111" spans="1:6">
      <c r="A111" s="8">
        <v>100</v>
      </c>
      <c r="B111" s="47" t="s">
        <v>96</v>
      </c>
      <c r="C111" s="16">
        <v>44422.892974537041</v>
      </c>
      <c r="D111" s="16">
        <v>44422.894675925927</v>
      </c>
      <c r="F111" t="s">
        <v>195</v>
      </c>
    </row>
    <row r="112" spans="1:6">
      <c r="A112" s="8">
        <v>101</v>
      </c>
      <c r="B112" s="8" t="s">
        <v>100</v>
      </c>
      <c r="C112" s="16">
        <v>44422.893449074072</v>
      </c>
      <c r="D112" s="16">
        <v>44422.894525462965</v>
      </c>
      <c r="F112" t="s">
        <v>194</v>
      </c>
    </row>
    <row r="113" spans="1:6">
      <c r="A113" s="8">
        <v>102</v>
      </c>
      <c r="B113" s="8" t="s">
        <v>100</v>
      </c>
      <c r="C113" s="16">
        <v>44422.89571759259</v>
      </c>
      <c r="D113" s="16">
        <v>44422.896909722222</v>
      </c>
      <c r="F113" t="s">
        <v>195</v>
      </c>
    </row>
    <row r="114" spans="1:6">
      <c r="A114" s="8">
        <v>103</v>
      </c>
      <c r="B114" s="8" t="s">
        <v>100</v>
      </c>
      <c r="C114" s="16">
        <v>44422.896562499998</v>
      </c>
      <c r="D114" s="16">
        <v>44422.89806712963</v>
      </c>
      <c r="F114" t="s">
        <v>195</v>
      </c>
    </row>
    <row r="115" spans="1:6">
      <c r="A115" s="8">
        <v>104</v>
      </c>
      <c r="B115" s="8" t="s">
        <v>100</v>
      </c>
      <c r="C115" s="16">
        <v>44422.897337962961</v>
      </c>
      <c r="D115" s="16">
        <v>44422.898402777777</v>
      </c>
      <c r="F115" t="s">
        <v>195</v>
      </c>
    </row>
    <row r="116" spans="1:6">
      <c r="A116" s="8">
        <v>105</v>
      </c>
      <c r="B116" s="8" t="s">
        <v>100</v>
      </c>
      <c r="C116" s="16">
        <v>44422.898055555554</v>
      </c>
      <c r="D116" s="16">
        <v>44422.8984375</v>
      </c>
      <c r="F116" t="s">
        <v>195</v>
      </c>
    </row>
    <row r="117" spans="1:6">
      <c r="A117" s="8">
        <v>106</v>
      </c>
      <c r="B117" s="8" t="s">
        <v>100</v>
      </c>
      <c r="C117" s="16">
        <v>44422.898298611108</v>
      </c>
      <c r="D117" s="16">
        <v>44422.899756944447</v>
      </c>
      <c r="F117" t="s">
        <v>195</v>
      </c>
    </row>
    <row r="118" spans="1:6">
      <c r="A118" s="8">
        <v>107</v>
      </c>
      <c r="B118" s="8" t="s">
        <v>100</v>
      </c>
      <c r="C118" s="16">
        <v>44422.898993055554</v>
      </c>
      <c r="D118" s="16">
        <v>44422.90053240741</v>
      </c>
      <c r="F118" t="s">
        <v>194</v>
      </c>
    </row>
    <row r="119" spans="1:6">
      <c r="A119" s="8">
        <v>108</v>
      </c>
      <c r="B119" s="8" t="s">
        <v>100</v>
      </c>
      <c r="C119" s="16">
        <v>44422.89912037037</v>
      </c>
      <c r="D119" s="16">
        <v>44422.900694444441</v>
      </c>
      <c r="F119" t="s">
        <v>194</v>
      </c>
    </row>
    <row r="120" spans="1:6">
      <c r="A120" s="8">
        <v>109</v>
      </c>
      <c r="B120" s="8" t="s">
        <v>100</v>
      </c>
      <c r="C120" s="16">
        <v>44422.899375000001</v>
      </c>
      <c r="D120" s="16">
        <v>44422.901087962964</v>
      </c>
      <c r="F120" t="s">
        <v>195</v>
      </c>
    </row>
    <row r="121" spans="1:6">
      <c r="A121" s="8">
        <v>110</v>
      </c>
      <c r="B121" s="8" t="s">
        <v>100</v>
      </c>
      <c r="C121" s="16">
        <v>44422.900833333333</v>
      </c>
      <c r="D121" s="16">
        <v>44422.903379629628</v>
      </c>
      <c r="F121" t="s">
        <v>194</v>
      </c>
    </row>
    <row r="122" spans="1:6">
      <c r="A122" s="8">
        <v>111</v>
      </c>
      <c r="B122" s="8" t="s">
        <v>100</v>
      </c>
      <c r="C122" s="16">
        <v>44422.901250000003</v>
      </c>
      <c r="D122" s="16">
        <v>44422.902592592596</v>
      </c>
      <c r="F122" t="s">
        <v>195</v>
      </c>
    </row>
    <row r="123" spans="1:6">
      <c r="A123" s="8">
        <v>112</v>
      </c>
      <c r="B123" s="8" t="s">
        <v>100</v>
      </c>
      <c r="C123" s="16">
        <v>44422.902013888888</v>
      </c>
      <c r="D123" s="16">
        <v>44422.903090277781</v>
      </c>
      <c r="F123" t="s">
        <v>195</v>
      </c>
    </row>
    <row r="124" spans="1:6">
      <c r="A124" s="8">
        <v>113</v>
      </c>
      <c r="B124" s="8" t="s">
        <v>100</v>
      </c>
      <c r="C124" s="16">
        <v>44422.903182870374</v>
      </c>
      <c r="D124" s="16">
        <v>44422.90420138889</v>
      </c>
      <c r="F124" t="s">
        <v>194</v>
      </c>
    </row>
    <row r="125" spans="1:6">
      <c r="A125" s="8">
        <v>114</v>
      </c>
      <c r="B125" s="8" t="s">
        <v>100</v>
      </c>
      <c r="C125" s="16">
        <v>44422.90357638889</v>
      </c>
      <c r="D125" s="16">
        <v>44422.904537037037</v>
      </c>
      <c r="F125" t="s">
        <v>194</v>
      </c>
    </row>
    <row r="126" spans="1:6">
      <c r="A126" s="8">
        <v>115</v>
      </c>
      <c r="B126" s="8" t="s">
        <v>100</v>
      </c>
      <c r="C126" s="16">
        <v>44422.903587962966</v>
      </c>
      <c r="D126" s="16">
        <v>44422.904560185183</v>
      </c>
      <c r="F126" t="s">
        <v>194</v>
      </c>
    </row>
    <row r="127" spans="1:6">
      <c r="A127" s="8">
        <v>116</v>
      </c>
      <c r="B127" s="8" t="s">
        <v>100</v>
      </c>
      <c r="C127" s="16">
        <v>44422.904722222222</v>
      </c>
      <c r="D127" s="16">
        <v>44422.9059837963</v>
      </c>
      <c r="F127" t="s">
        <v>194</v>
      </c>
    </row>
    <row r="128" spans="1:6">
      <c r="A128" s="8">
        <v>117</v>
      </c>
      <c r="B128" s="8" t="s">
        <v>100</v>
      </c>
      <c r="C128" s="16">
        <v>44422.905034722222</v>
      </c>
      <c r="D128" s="16">
        <v>44422.905671296299</v>
      </c>
      <c r="F128" t="s">
        <v>195</v>
      </c>
    </row>
    <row r="129" spans="1:12">
      <c r="A129" s="8">
        <v>118</v>
      </c>
      <c r="B129" s="8" t="s">
        <v>100</v>
      </c>
      <c r="C129" s="16">
        <v>44422.905127314814</v>
      </c>
      <c r="D129" s="16">
        <v>44422.906342592592</v>
      </c>
      <c r="F129" t="s">
        <v>195</v>
      </c>
    </row>
    <row r="130" spans="1:12">
      <c r="A130" s="8">
        <v>119</v>
      </c>
      <c r="B130" s="8" t="s">
        <v>100</v>
      </c>
      <c r="C130" s="16">
        <v>44422.905416666668</v>
      </c>
      <c r="D130" s="16">
        <v>44422.906701388885</v>
      </c>
      <c r="F130" t="s">
        <v>194</v>
      </c>
      <c r="G130" s="3" t="s">
        <v>227</v>
      </c>
    </row>
    <row r="131" spans="1:12">
      <c r="A131" s="8">
        <v>120</v>
      </c>
      <c r="B131" s="8" t="s">
        <v>100</v>
      </c>
      <c r="C131" s="16">
        <v>44422.905451388891</v>
      </c>
      <c r="D131" s="16">
        <v>44422.906585648147</v>
      </c>
      <c r="F131" t="s">
        <v>195</v>
      </c>
      <c r="G131" s="3"/>
    </row>
    <row r="132" spans="1:12">
      <c r="A132" s="8">
        <v>121</v>
      </c>
      <c r="B132" s="8" t="s">
        <v>100</v>
      </c>
      <c r="C132" s="16">
        <v>44422.905578703707</v>
      </c>
      <c r="D132" s="16">
        <v>44422.90662037037</v>
      </c>
      <c r="F132" t="s">
        <v>195</v>
      </c>
    </row>
    <row r="133" spans="1:12" ht="16.5" thickBot="1">
      <c r="A133" s="92">
        <v>122</v>
      </c>
      <c r="B133" s="92" t="s">
        <v>100</v>
      </c>
      <c r="C133" s="29">
        <v>44422.905601851853</v>
      </c>
      <c r="D133" s="29">
        <v>44422.906898148147</v>
      </c>
      <c r="E133" s="92"/>
      <c r="F133" s="42" t="s">
        <v>195</v>
      </c>
      <c r="G133" s="42"/>
      <c r="H133" s="94" t="s">
        <v>218</v>
      </c>
      <c r="I133" s="42"/>
      <c r="J133" s="42"/>
      <c r="K133" s="42" t="s">
        <v>228</v>
      </c>
      <c r="L133" s="42"/>
    </row>
    <row r="134" spans="1:12">
      <c r="A134" s="8">
        <v>123</v>
      </c>
      <c r="B134" s="8" t="s">
        <v>100</v>
      </c>
    </row>
    <row r="135" spans="1:12">
      <c r="A135" s="8">
        <v>124</v>
      </c>
      <c r="B135" s="8" t="s">
        <v>100</v>
      </c>
    </row>
    <row r="136" spans="1:12">
      <c r="A136" s="8">
        <v>125</v>
      </c>
      <c r="B136" s="8" t="s">
        <v>100</v>
      </c>
    </row>
    <row r="137" spans="1:12">
      <c r="A137" s="8">
        <v>126</v>
      </c>
      <c r="B137" s="8" t="s">
        <v>100</v>
      </c>
    </row>
    <row r="138" spans="1:12">
      <c r="A138" s="8">
        <v>127</v>
      </c>
      <c r="B138" s="8" t="s">
        <v>100</v>
      </c>
    </row>
    <row r="139" spans="1:12">
      <c r="A139" s="8">
        <v>128</v>
      </c>
      <c r="B139" s="8" t="s">
        <v>100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2:F111"/>
  <sheetViews>
    <sheetView topLeftCell="A2" zoomScale="94" workbookViewId="0">
      <selection activeCell="E38" sqref="E38"/>
    </sheetView>
  </sheetViews>
  <sheetFormatPr defaultColWidth="11" defaultRowHeight="15.75"/>
  <cols>
    <col min="1" max="1" width="10.875" style="8"/>
    <col min="2" max="2" width="24.625" style="8" customWidth="1"/>
    <col min="3" max="3" width="26" style="16" customWidth="1"/>
    <col min="4" max="4" width="28.375" style="16" customWidth="1"/>
    <col min="5" max="5" width="37.5" style="8" customWidth="1"/>
  </cols>
  <sheetData>
    <row r="2" spans="1:6">
      <c r="A2" s="18" t="s">
        <v>85</v>
      </c>
    </row>
    <row r="4" spans="1:6">
      <c r="A4" s="19" t="s">
        <v>67</v>
      </c>
    </row>
    <row r="6" spans="1:6">
      <c r="A6" s="20" t="s">
        <v>101</v>
      </c>
    </row>
    <row r="8" spans="1:6">
      <c r="A8" s="8" t="s">
        <v>35</v>
      </c>
      <c r="B8" s="8" t="s">
        <v>99</v>
      </c>
      <c r="C8" s="16" t="s">
        <v>16</v>
      </c>
      <c r="D8" s="16" t="s">
        <v>17</v>
      </c>
      <c r="E8" s="47" t="s">
        <v>37</v>
      </c>
      <c r="F8" t="s">
        <v>190</v>
      </c>
    </row>
    <row r="9" spans="1:6">
      <c r="B9" s="8" t="s">
        <v>100</v>
      </c>
      <c r="C9" s="16">
        <v>44418.521770833337</v>
      </c>
      <c r="D9" s="16">
        <v>44418.522592592592</v>
      </c>
      <c r="E9" s="47" t="s">
        <v>127</v>
      </c>
    </row>
    <row r="10" spans="1:6">
      <c r="B10" s="8" t="s">
        <v>96</v>
      </c>
    </row>
    <row r="12" spans="1:6">
      <c r="A12" s="8">
        <v>1</v>
      </c>
      <c r="B12" s="8" t="s">
        <v>100</v>
      </c>
      <c r="C12" s="16">
        <v>44422.718587962961</v>
      </c>
      <c r="D12" s="16">
        <v>44422.719930555555</v>
      </c>
      <c r="F12" t="s">
        <v>195</v>
      </c>
    </row>
    <row r="13" spans="1:6">
      <c r="A13" s="8">
        <v>2</v>
      </c>
      <c r="B13" s="8" t="s">
        <v>100</v>
      </c>
      <c r="C13" s="16">
        <v>44422.733449074076</v>
      </c>
      <c r="D13" s="16">
        <v>44422.73505787037</v>
      </c>
      <c r="F13" t="s">
        <v>194</v>
      </c>
    </row>
    <row r="14" spans="1:6">
      <c r="A14" s="8">
        <v>3</v>
      </c>
      <c r="B14" s="8" t="s">
        <v>100</v>
      </c>
      <c r="C14" s="16">
        <v>44422.734756944446</v>
      </c>
      <c r="D14" s="16">
        <v>44422.735601851855</v>
      </c>
      <c r="F14" t="s">
        <v>195</v>
      </c>
    </row>
    <row r="15" spans="1:6">
      <c r="A15" s="8">
        <v>4</v>
      </c>
      <c r="B15" s="8" t="s">
        <v>100</v>
      </c>
      <c r="C15" s="16">
        <v>44422.73646990741</v>
      </c>
      <c r="D15" s="16">
        <v>44422.737928240742</v>
      </c>
      <c r="F15" t="s">
        <v>194</v>
      </c>
    </row>
    <row r="16" spans="1:6">
      <c r="A16" s="8">
        <v>5</v>
      </c>
      <c r="B16" s="8" t="s">
        <v>100</v>
      </c>
      <c r="C16" s="16">
        <v>44422.736655092594</v>
      </c>
      <c r="D16" s="16">
        <v>44422.736840277779</v>
      </c>
      <c r="F16" t="s">
        <v>195</v>
      </c>
    </row>
    <row r="17" spans="1:6">
      <c r="A17" s="8">
        <v>6</v>
      </c>
      <c r="B17" s="8" t="s">
        <v>100</v>
      </c>
      <c r="C17" s="16">
        <v>44422.747557870367</v>
      </c>
      <c r="D17" s="16">
        <v>44422.748530092591</v>
      </c>
      <c r="F17" t="s">
        <v>195</v>
      </c>
    </row>
    <row r="18" spans="1:6">
      <c r="A18" s="8">
        <v>7</v>
      </c>
      <c r="B18" s="8" t="s">
        <v>100</v>
      </c>
      <c r="C18" s="16">
        <v>44422.748530092591</v>
      </c>
      <c r="D18" s="16">
        <v>44422.750138888892</v>
      </c>
      <c r="F18" t="s">
        <v>195</v>
      </c>
    </row>
    <row r="19" spans="1:6">
      <c r="A19" s="8">
        <v>8</v>
      </c>
      <c r="B19" s="8" t="s">
        <v>100</v>
      </c>
      <c r="C19" s="16">
        <v>44422.763206018521</v>
      </c>
      <c r="D19" s="16">
        <v>44422.764618055553</v>
      </c>
      <c r="F19" t="s">
        <v>194</v>
      </c>
    </row>
    <row r="20" spans="1:6">
      <c r="A20" s="8">
        <v>9</v>
      </c>
      <c r="B20" s="8" t="s">
        <v>100</v>
      </c>
      <c r="C20" s="16">
        <v>44422.763298611113</v>
      </c>
      <c r="D20" s="16">
        <v>44422.766493055555</v>
      </c>
      <c r="F20" t="s">
        <v>194</v>
      </c>
    </row>
    <row r="21" spans="1:6">
      <c r="A21" s="8">
        <v>10</v>
      </c>
    </row>
    <row r="22" spans="1:6">
      <c r="A22" s="8">
        <v>11</v>
      </c>
      <c r="B22" s="84" t="s">
        <v>204</v>
      </c>
      <c r="C22" s="16" t="s">
        <v>205</v>
      </c>
      <c r="D22" s="16" t="s">
        <v>206</v>
      </c>
    </row>
    <row r="23" spans="1:6">
      <c r="A23" s="8">
        <v>12</v>
      </c>
      <c r="B23" s="8" t="s">
        <v>100</v>
      </c>
      <c r="C23" s="16">
        <v>44422.782361111109</v>
      </c>
      <c r="D23" s="16">
        <v>44422.784074074072</v>
      </c>
      <c r="F23" t="s">
        <v>194</v>
      </c>
    </row>
    <row r="24" spans="1:6">
      <c r="A24" s="8">
        <v>13</v>
      </c>
      <c r="B24" s="8" t="s">
        <v>100</v>
      </c>
      <c r="C24" s="16">
        <v>44422.786273148151</v>
      </c>
      <c r="D24" s="16">
        <v>44422.787210648145</v>
      </c>
      <c r="F24" t="s">
        <v>195</v>
      </c>
    </row>
    <row r="25" spans="1:6">
      <c r="A25" s="8">
        <v>14</v>
      </c>
      <c r="B25" s="8" t="s">
        <v>100</v>
      </c>
      <c r="C25" s="16">
        <v>44422.78565972222</v>
      </c>
      <c r="D25" s="16">
        <v>44422.78701388889</v>
      </c>
      <c r="F25" t="s">
        <v>194</v>
      </c>
    </row>
    <row r="26" spans="1:6">
      <c r="A26" s="8">
        <v>15</v>
      </c>
    </row>
    <row r="27" spans="1:6">
      <c r="A27" s="8">
        <v>16</v>
      </c>
    </row>
    <row r="28" spans="1:6">
      <c r="A28" s="8">
        <v>17</v>
      </c>
    </row>
    <row r="29" spans="1:6">
      <c r="A29" s="8">
        <v>18</v>
      </c>
    </row>
    <row r="30" spans="1:6">
      <c r="A30" s="8">
        <v>19</v>
      </c>
    </row>
    <row r="31" spans="1:6">
      <c r="A31" s="8">
        <v>20</v>
      </c>
    </row>
    <row r="32" spans="1:6">
      <c r="A32" s="8">
        <v>21</v>
      </c>
    </row>
    <row r="33" spans="1:1">
      <c r="A33" s="8">
        <v>22</v>
      </c>
    </row>
    <row r="34" spans="1:1">
      <c r="A34" s="8">
        <v>23</v>
      </c>
    </row>
    <row r="35" spans="1:1">
      <c r="A35" s="8">
        <v>24</v>
      </c>
    </row>
    <row r="36" spans="1:1">
      <c r="A36" s="8">
        <v>25</v>
      </c>
    </row>
    <row r="37" spans="1:1">
      <c r="A37" s="8">
        <v>26</v>
      </c>
    </row>
    <row r="38" spans="1:1">
      <c r="A38" s="8">
        <v>27</v>
      </c>
    </row>
    <row r="39" spans="1:1">
      <c r="A39" s="8">
        <v>28</v>
      </c>
    </row>
    <row r="40" spans="1:1">
      <c r="A40" s="8">
        <v>29</v>
      </c>
    </row>
    <row r="41" spans="1:1">
      <c r="A41" s="8">
        <v>30</v>
      </c>
    </row>
    <row r="42" spans="1:1">
      <c r="A42" s="8">
        <v>31</v>
      </c>
    </row>
    <row r="43" spans="1:1">
      <c r="A43" s="8">
        <v>32</v>
      </c>
    </row>
    <row r="44" spans="1:1">
      <c r="A44" s="8">
        <v>33</v>
      </c>
    </row>
    <row r="45" spans="1:1">
      <c r="A45" s="8">
        <v>34</v>
      </c>
    </row>
    <row r="46" spans="1:1">
      <c r="A46" s="8">
        <v>35</v>
      </c>
    </row>
    <row r="47" spans="1:1">
      <c r="A47" s="8">
        <v>36</v>
      </c>
    </row>
    <row r="48" spans="1:1">
      <c r="A48" s="8">
        <v>37</v>
      </c>
    </row>
    <row r="49" spans="1:1">
      <c r="A49" s="8">
        <v>38</v>
      </c>
    </row>
    <row r="50" spans="1:1">
      <c r="A50" s="8">
        <v>39</v>
      </c>
    </row>
    <row r="51" spans="1:1">
      <c r="A51" s="8">
        <v>40</v>
      </c>
    </row>
    <row r="52" spans="1:1">
      <c r="A52" s="8">
        <v>41</v>
      </c>
    </row>
    <row r="53" spans="1:1">
      <c r="A53" s="8">
        <v>42</v>
      </c>
    </row>
    <row r="54" spans="1:1">
      <c r="A54" s="8">
        <v>43</v>
      </c>
    </row>
    <row r="55" spans="1:1">
      <c r="A55" s="8">
        <v>44</v>
      </c>
    </row>
    <row r="56" spans="1:1">
      <c r="A56" s="8">
        <v>45</v>
      </c>
    </row>
    <row r="57" spans="1:1">
      <c r="A57" s="8">
        <v>46</v>
      </c>
    </row>
    <row r="58" spans="1:1">
      <c r="A58" s="8">
        <v>47</v>
      </c>
    </row>
    <row r="59" spans="1:1">
      <c r="A59" s="8">
        <v>48</v>
      </c>
    </row>
    <row r="60" spans="1:1">
      <c r="A60" s="8">
        <v>49</v>
      </c>
    </row>
    <row r="61" spans="1:1">
      <c r="A61" s="8">
        <v>50</v>
      </c>
    </row>
    <row r="62" spans="1:1">
      <c r="A62" s="8">
        <v>51</v>
      </c>
    </row>
    <row r="63" spans="1:1">
      <c r="A63" s="8">
        <v>52</v>
      </c>
    </row>
    <row r="64" spans="1:1">
      <c r="A64" s="8">
        <v>53</v>
      </c>
    </row>
    <row r="65" spans="1:1">
      <c r="A65" s="8">
        <v>54</v>
      </c>
    </row>
    <row r="66" spans="1:1">
      <c r="A66" s="8">
        <v>55</v>
      </c>
    </row>
    <row r="67" spans="1:1">
      <c r="A67" s="8">
        <v>56</v>
      </c>
    </row>
    <row r="68" spans="1:1">
      <c r="A68" s="8">
        <v>57</v>
      </c>
    </row>
    <row r="69" spans="1:1">
      <c r="A69" s="8">
        <v>58</v>
      </c>
    </row>
    <row r="70" spans="1:1">
      <c r="A70" s="8">
        <v>59</v>
      </c>
    </row>
    <row r="71" spans="1:1">
      <c r="A71" s="8">
        <v>60</v>
      </c>
    </row>
    <row r="72" spans="1:1">
      <c r="A72" s="8">
        <v>61</v>
      </c>
    </row>
    <row r="73" spans="1:1">
      <c r="A73" s="8">
        <v>62</v>
      </c>
    </row>
    <row r="74" spans="1:1">
      <c r="A74" s="8">
        <v>63</v>
      </c>
    </row>
    <row r="75" spans="1:1">
      <c r="A75" s="8">
        <v>64</v>
      </c>
    </row>
    <row r="76" spans="1:1">
      <c r="A76" s="8">
        <v>65</v>
      </c>
    </row>
    <row r="77" spans="1:1">
      <c r="A77" s="8">
        <v>66</v>
      </c>
    </row>
    <row r="78" spans="1:1">
      <c r="A78" s="8">
        <v>67</v>
      </c>
    </row>
    <row r="79" spans="1:1">
      <c r="A79" s="8">
        <v>68</v>
      </c>
    </row>
    <row r="80" spans="1:1">
      <c r="A80" s="8">
        <v>69</v>
      </c>
    </row>
    <row r="81" spans="1:1">
      <c r="A81" s="8">
        <v>70</v>
      </c>
    </row>
    <row r="82" spans="1:1">
      <c r="A82" s="8">
        <v>71</v>
      </c>
    </row>
    <row r="83" spans="1:1">
      <c r="A83" s="8">
        <v>72</v>
      </c>
    </row>
    <row r="84" spans="1:1">
      <c r="A84" s="8">
        <v>73</v>
      </c>
    </row>
    <row r="85" spans="1:1">
      <c r="A85" s="8">
        <v>74</v>
      </c>
    </row>
    <row r="86" spans="1:1">
      <c r="A86" s="8">
        <v>75</v>
      </c>
    </row>
    <row r="87" spans="1:1">
      <c r="A87" s="8">
        <v>76</v>
      </c>
    </row>
    <row r="88" spans="1:1">
      <c r="A88" s="8">
        <v>77</v>
      </c>
    </row>
    <row r="89" spans="1:1">
      <c r="A89" s="8">
        <v>78</v>
      </c>
    </row>
    <row r="90" spans="1:1">
      <c r="A90" s="8">
        <v>79</v>
      </c>
    </row>
    <row r="91" spans="1:1">
      <c r="A91" s="8">
        <v>80</v>
      </c>
    </row>
    <row r="92" spans="1:1">
      <c r="A92" s="8">
        <v>81</v>
      </c>
    </row>
    <row r="93" spans="1:1">
      <c r="A93" s="8">
        <v>82</v>
      </c>
    </row>
    <row r="94" spans="1:1">
      <c r="A94" s="8">
        <v>83</v>
      </c>
    </row>
    <row r="95" spans="1:1">
      <c r="A95" s="8">
        <v>84</v>
      </c>
    </row>
    <row r="96" spans="1:1">
      <c r="A96" s="8">
        <v>85</v>
      </c>
    </row>
    <row r="97" spans="1:1">
      <c r="A97" s="8">
        <v>86</v>
      </c>
    </row>
    <row r="98" spans="1:1">
      <c r="A98" s="8">
        <v>87</v>
      </c>
    </row>
    <row r="99" spans="1:1">
      <c r="A99" s="8">
        <v>88</v>
      </c>
    </row>
    <row r="100" spans="1:1">
      <c r="A100" s="8">
        <v>89</v>
      </c>
    </row>
    <row r="101" spans="1:1">
      <c r="A101" s="8">
        <v>90</v>
      </c>
    </row>
    <row r="102" spans="1:1">
      <c r="A102" s="8">
        <v>91</v>
      </c>
    </row>
    <row r="103" spans="1:1">
      <c r="A103" s="8">
        <v>92</v>
      </c>
    </row>
    <row r="104" spans="1:1">
      <c r="A104" s="8">
        <v>93</v>
      </c>
    </row>
    <row r="105" spans="1:1">
      <c r="A105" s="8">
        <v>94</v>
      </c>
    </row>
    <row r="106" spans="1:1">
      <c r="A106" s="8">
        <v>95</v>
      </c>
    </row>
    <row r="107" spans="1:1">
      <c r="A107" s="8">
        <v>96</v>
      </c>
    </row>
    <row r="108" spans="1:1">
      <c r="A108" s="8">
        <v>97</v>
      </c>
    </row>
    <row r="109" spans="1:1">
      <c r="A109" s="8">
        <v>98</v>
      </c>
    </row>
    <row r="110" spans="1:1">
      <c r="A110" s="8">
        <v>99</v>
      </c>
    </row>
    <row r="111" spans="1:1">
      <c r="A111" s="8">
        <v>100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I111"/>
  <sheetViews>
    <sheetView workbookViewId="0">
      <selection activeCell="F20" sqref="F20"/>
    </sheetView>
  </sheetViews>
  <sheetFormatPr defaultColWidth="11" defaultRowHeight="15.75"/>
  <cols>
    <col min="1" max="2" width="10.875" style="8"/>
    <col min="3" max="3" width="29" customWidth="1"/>
    <col min="4" max="4" width="24.375" style="16" customWidth="1"/>
    <col min="5" max="5" width="21" style="16" customWidth="1"/>
    <col min="6" max="6" width="99" style="8" customWidth="1"/>
    <col min="7" max="7" width="27.125" customWidth="1"/>
  </cols>
  <sheetData>
    <row r="1" spans="1:9">
      <c r="B1" s="18" t="s">
        <v>66</v>
      </c>
    </row>
    <row r="2" spans="1:9">
      <c r="B2" s="18"/>
    </row>
    <row r="3" spans="1:9">
      <c r="B3" s="18" t="s">
        <v>85</v>
      </c>
    </row>
    <row r="4" spans="1:9">
      <c r="B4" s="18"/>
    </row>
    <row r="5" spans="1:9">
      <c r="B5" s="18"/>
    </row>
    <row r="6" spans="1:9">
      <c r="B6" s="18"/>
    </row>
    <row r="7" spans="1:9">
      <c r="B7" s="19" t="s">
        <v>67</v>
      </c>
    </row>
    <row r="9" spans="1:9">
      <c r="C9" s="3" t="s">
        <v>172</v>
      </c>
      <c r="D9" s="21"/>
      <c r="E9" s="21"/>
      <c r="F9" s="12"/>
    </row>
    <row r="10" spans="1:9">
      <c r="C10" s="3" t="s">
        <v>164</v>
      </c>
      <c r="D10" s="46"/>
      <c r="F10" s="61" t="s">
        <v>170</v>
      </c>
    </row>
    <row r="11" spans="1:9">
      <c r="A11" s="73" t="s">
        <v>125</v>
      </c>
      <c r="B11" s="74" t="s">
        <v>23</v>
      </c>
      <c r="C11" s="75" t="s">
        <v>156</v>
      </c>
      <c r="D11" s="76" t="s">
        <v>16</v>
      </c>
      <c r="E11" s="76" t="s">
        <v>17</v>
      </c>
      <c r="F11" s="77" t="s">
        <v>98</v>
      </c>
      <c r="G11" s="1"/>
      <c r="H11" s="1"/>
      <c r="I11" s="1"/>
    </row>
    <row r="12" spans="1:9">
      <c r="A12" s="8">
        <v>1</v>
      </c>
      <c r="B12" s="8">
        <v>11</v>
      </c>
      <c r="C12" t="s">
        <v>166</v>
      </c>
      <c r="D12" s="16">
        <v>44403.787835648145</v>
      </c>
      <c r="E12" s="16">
        <v>44403.788576388892</v>
      </c>
      <c r="F12" s="8" t="s">
        <v>165</v>
      </c>
    </row>
    <row r="13" spans="1:9">
      <c r="A13" s="8">
        <v>2</v>
      </c>
    </row>
    <row r="14" spans="1:9">
      <c r="A14" s="8">
        <v>3</v>
      </c>
    </row>
    <row r="15" spans="1:9">
      <c r="A15" s="8">
        <v>4</v>
      </c>
    </row>
    <row r="16" spans="1:9">
      <c r="A16" s="8">
        <v>5</v>
      </c>
    </row>
    <row r="17" spans="1:6">
      <c r="A17" s="8">
        <v>6</v>
      </c>
    </row>
    <row r="18" spans="1:6">
      <c r="A18" s="8">
        <v>7</v>
      </c>
    </row>
    <row r="19" spans="1:6">
      <c r="A19" s="8">
        <v>8</v>
      </c>
    </row>
    <row r="20" spans="1:6">
      <c r="A20" s="8">
        <v>9</v>
      </c>
    </row>
    <row r="21" spans="1:6">
      <c r="A21" s="8">
        <v>10</v>
      </c>
      <c r="F21" s="17"/>
    </row>
    <row r="22" spans="1:6">
      <c r="A22" s="8">
        <v>11</v>
      </c>
    </row>
    <row r="23" spans="1:6">
      <c r="A23" s="8">
        <v>12</v>
      </c>
    </row>
    <row r="24" spans="1:6">
      <c r="A24" s="8">
        <v>13</v>
      </c>
    </row>
    <row r="25" spans="1:6">
      <c r="A25" s="8">
        <v>14</v>
      </c>
    </row>
    <row r="26" spans="1:6">
      <c r="A26" s="8">
        <v>15</v>
      </c>
    </row>
    <row r="27" spans="1:6">
      <c r="A27" s="8">
        <v>16</v>
      </c>
    </row>
    <row r="28" spans="1:6">
      <c r="A28" s="8">
        <v>17</v>
      </c>
    </row>
    <row r="29" spans="1:6">
      <c r="A29" s="8">
        <v>18</v>
      </c>
    </row>
    <row r="30" spans="1:6">
      <c r="A30" s="8">
        <v>19</v>
      </c>
    </row>
    <row r="31" spans="1:6">
      <c r="A31" s="8">
        <v>20</v>
      </c>
    </row>
    <row r="32" spans="1:6">
      <c r="A32" s="8">
        <v>21</v>
      </c>
    </row>
    <row r="33" spans="1:1">
      <c r="A33" s="8">
        <v>22</v>
      </c>
    </row>
    <row r="34" spans="1:1">
      <c r="A34" s="8">
        <v>23</v>
      </c>
    </row>
    <row r="35" spans="1:1">
      <c r="A35" s="8">
        <v>24</v>
      </c>
    </row>
    <row r="36" spans="1:1">
      <c r="A36" s="8">
        <v>25</v>
      </c>
    </row>
    <row r="37" spans="1:1">
      <c r="A37" s="8">
        <v>26</v>
      </c>
    </row>
    <row r="38" spans="1:1">
      <c r="A38" s="8">
        <v>27</v>
      </c>
    </row>
    <row r="39" spans="1:1">
      <c r="A39" s="8">
        <v>28</v>
      </c>
    </row>
    <row r="40" spans="1:1">
      <c r="A40" s="8">
        <v>29</v>
      </c>
    </row>
    <row r="41" spans="1:1">
      <c r="A41" s="8">
        <v>30</v>
      </c>
    </row>
    <row r="42" spans="1:1">
      <c r="A42" s="8">
        <v>31</v>
      </c>
    </row>
    <row r="43" spans="1:1">
      <c r="A43" s="8">
        <v>32</v>
      </c>
    </row>
    <row r="44" spans="1:1">
      <c r="A44" s="8">
        <v>33</v>
      </c>
    </row>
    <row r="45" spans="1:1">
      <c r="A45" s="8">
        <v>34</v>
      </c>
    </row>
    <row r="46" spans="1:1">
      <c r="A46" s="8">
        <v>35</v>
      </c>
    </row>
    <row r="47" spans="1:1">
      <c r="A47" s="8">
        <v>36</v>
      </c>
    </row>
    <row r="48" spans="1:1">
      <c r="A48" s="8">
        <v>37</v>
      </c>
    </row>
    <row r="49" spans="1:1">
      <c r="A49" s="8">
        <v>38</v>
      </c>
    </row>
    <row r="50" spans="1:1">
      <c r="A50" s="8">
        <v>39</v>
      </c>
    </row>
    <row r="51" spans="1:1">
      <c r="A51" s="8">
        <v>40</v>
      </c>
    </row>
    <row r="52" spans="1:1">
      <c r="A52" s="8">
        <v>41</v>
      </c>
    </row>
    <row r="53" spans="1:1">
      <c r="A53" s="8">
        <v>42</v>
      </c>
    </row>
    <row r="54" spans="1:1">
      <c r="A54" s="8">
        <v>43</v>
      </c>
    </row>
    <row r="55" spans="1:1">
      <c r="A55" s="8">
        <v>44</v>
      </c>
    </row>
    <row r="56" spans="1:1">
      <c r="A56" s="8">
        <v>45</v>
      </c>
    </row>
    <row r="57" spans="1:1">
      <c r="A57" s="8">
        <v>46</v>
      </c>
    </row>
    <row r="58" spans="1:1">
      <c r="A58" s="8">
        <v>47</v>
      </c>
    </row>
    <row r="59" spans="1:1">
      <c r="A59" s="8">
        <v>48</v>
      </c>
    </row>
    <row r="60" spans="1:1">
      <c r="A60" s="8">
        <v>49</v>
      </c>
    </row>
    <row r="61" spans="1:1">
      <c r="A61" s="8">
        <v>50</v>
      </c>
    </row>
    <row r="62" spans="1:1">
      <c r="A62" s="8">
        <v>51</v>
      </c>
    </row>
    <row r="63" spans="1:1">
      <c r="A63" s="8">
        <v>52</v>
      </c>
    </row>
    <row r="64" spans="1:1">
      <c r="A64" s="8">
        <v>53</v>
      </c>
    </row>
    <row r="65" spans="1:1">
      <c r="A65" s="8">
        <v>54</v>
      </c>
    </row>
    <row r="66" spans="1:1">
      <c r="A66" s="8">
        <v>55</v>
      </c>
    </row>
    <row r="67" spans="1:1">
      <c r="A67" s="8">
        <v>56</v>
      </c>
    </row>
    <row r="68" spans="1:1">
      <c r="A68" s="8">
        <v>57</v>
      </c>
    </row>
    <row r="69" spans="1:1">
      <c r="A69" s="8">
        <v>58</v>
      </c>
    </row>
    <row r="70" spans="1:1">
      <c r="A70" s="8">
        <v>59</v>
      </c>
    </row>
    <row r="71" spans="1:1">
      <c r="A71" s="8">
        <v>60</v>
      </c>
    </row>
    <row r="72" spans="1:1">
      <c r="A72" s="8">
        <v>61</v>
      </c>
    </row>
    <row r="73" spans="1:1">
      <c r="A73" s="8">
        <v>62</v>
      </c>
    </row>
    <row r="74" spans="1:1">
      <c r="A74" s="8">
        <v>63</v>
      </c>
    </row>
    <row r="75" spans="1:1">
      <c r="A75" s="8">
        <v>64</v>
      </c>
    </row>
    <row r="76" spans="1:1">
      <c r="A76" s="8">
        <v>65</v>
      </c>
    </row>
    <row r="77" spans="1:1">
      <c r="A77" s="8">
        <v>66</v>
      </c>
    </row>
    <row r="78" spans="1:1">
      <c r="A78" s="8">
        <v>67</v>
      </c>
    </row>
    <row r="79" spans="1:1">
      <c r="A79" s="8">
        <v>68</v>
      </c>
    </row>
    <row r="80" spans="1:1">
      <c r="A80" s="8">
        <v>69</v>
      </c>
    </row>
    <row r="81" spans="1:1">
      <c r="A81" s="8">
        <v>70</v>
      </c>
    </row>
    <row r="82" spans="1:1">
      <c r="A82" s="8">
        <v>71</v>
      </c>
    </row>
    <row r="83" spans="1:1">
      <c r="A83" s="8">
        <v>72</v>
      </c>
    </row>
    <row r="84" spans="1:1">
      <c r="A84" s="8">
        <v>73</v>
      </c>
    </row>
    <row r="85" spans="1:1">
      <c r="A85" s="8">
        <v>74</v>
      </c>
    </row>
    <row r="86" spans="1:1">
      <c r="A86" s="8">
        <v>75</v>
      </c>
    </row>
    <row r="87" spans="1:1">
      <c r="A87" s="8">
        <v>76</v>
      </c>
    </row>
    <row r="88" spans="1:1">
      <c r="A88" s="8">
        <v>77</v>
      </c>
    </row>
    <row r="89" spans="1:1">
      <c r="A89" s="8">
        <v>78</v>
      </c>
    </row>
    <row r="90" spans="1:1">
      <c r="A90" s="8">
        <v>79</v>
      </c>
    </row>
    <row r="91" spans="1:1">
      <c r="A91" s="8">
        <v>80</v>
      </c>
    </row>
    <row r="92" spans="1:1">
      <c r="A92" s="8">
        <v>81</v>
      </c>
    </row>
    <row r="93" spans="1:1">
      <c r="A93" s="8">
        <v>82</v>
      </c>
    </row>
    <row r="94" spans="1:1">
      <c r="A94" s="8">
        <v>83</v>
      </c>
    </row>
    <row r="95" spans="1:1">
      <c r="A95" s="8">
        <v>84</v>
      </c>
    </row>
    <row r="96" spans="1:1">
      <c r="A96" s="8">
        <v>85</v>
      </c>
    </row>
    <row r="97" spans="1:1">
      <c r="A97" s="8">
        <v>86</v>
      </c>
    </row>
    <row r="98" spans="1:1">
      <c r="A98" s="8">
        <v>87</v>
      </c>
    </row>
    <row r="99" spans="1:1">
      <c r="A99" s="8">
        <v>88</v>
      </c>
    </row>
    <row r="100" spans="1:1">
      <c r="A100" s="8">
        <v>89</v>
      </c>
    </row>
    <row r="101" spans="1:1">
      <c r="A101" s="8">
        <v>90</v>
      </c>
    </row>
    <row r="102" spans="1:1">
      <c r="A102" s="8">
        <v>91</v>
      </c>
    </row>
    <row r="103" spans="1:1">
      <c r="A103" s="8">
        <v>92</v>
      </c>
    </row>
    <row r="104" spans="1:1">
      <c r="A104" s="8">
        <v>93</v>
      </c>
    </row>
    <row r="105" spans="1:1">
      <c r="A105" s="8">
        <v>94</v>
      </c>
    </row>
    <row r="106" spans="1:1">
      <c r="A106" s="8">
        <v>95</v>
      </c>
    </row>
    <row r="107" spans="1:1">
      <c r="A107" s="8">
        <v>96</v>
      </c>
    </row>
    <row r="108" spans="1:1">
      <c r="A108" s="8">
        <v>97</v>
      </c>
    </row>
    <row r="109" spans="1:1">
      <c r="A109" s="8">
        <v>98</v>
      </c>
    </row>
    <row r="110" spans="1:1">
      <c r="A110" s="8">
        <v>99</v>
      </c>
    </row>
    <row r="111" spans="1:1">
      <c r="A111" s="8">
        <v>100</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2:Q62"/>
  <sheetViews>
    <sheetView topLeftCell="D1" zoomScale="114" workbookViewId="0">
      <selection activeCell="L48" sqref="L48"/>
    </sheetView>
  </sheetViews>
  <sheetFormatPr defaultColWidth="11" defaultRowHeight="15.75"/>
  <cols>
    <col min="1" max="1" width="16.5" customWidth="1"/>
    <col min="2" max="2" width="26.5" customWidth="1"/>
    <col min="3" max="3" width="41.5" customWidth="1"/>
    <col min="4" max="4" width="37.875" customWidth="1"/>
    <col min="5" max="5" width="31.5" customWidth="1"/>
    <col min="6" max="6" width="42.125" customWidth="1"/>
    <col min="7" max="7" width="40.875" customWidth="1"/>
    <col min="11" max="11" width="22.5" customWidth="1"/>
    <col min="12" max="12" width="90.625" customWidth="1"/>
    <col min="13" max="13" width="21.875" customWidth="1"/>
    <col min="14" max="14" width="24.625" customWidth="1"/>
    <col min="15" max="15" width="23.875" customWidth="1"/>
    <col min="16" max="16" width="20" customWidth="1"/>
    <col min="17" max="17" width="30.625" customWidth="1"/>
  </cols>
  <sheetData>
    <row r="2" spans="1:16">
      <c r="A2" t="s">
        <v>85</v>
      </c>
    </row>
    <row r="3" spans="1:16">
      <c r="K3" s="6"/>
      <c r="L3" s="4"/>
      <c r="M3" s="4"/>
      <c r="N3" s="4"/>
      <c r="O3" s="4"/>
      <c r="P3" s="4"/>
    </row>
    <row r="4" spans="1:16">
      <c r="A4" s="9" t="s">
        <v>67</v>
      </c>
      <c r="K4" s="4"/>
      <c r="L4" s="4"/>
      <c r="M4" s="4"/>
      <c r="N4" s="4"/>
      <c r="O4" s="4"/>
      <c r="P4" s="4"/>
    </row>
    <row r="5" spans="1:16">
      <c r="K5" s="4"/>
      <c r="L5" s="4"/>
      <c r="M5" s="4"/>
      <c r="N5" s="4"/>
      <c r="O5" s="4"/>
      <c r="P5" s="4"/>
    </row>
    <row r="6" spans="1:16">
      <c r="A6" t="s">
        <v>60</v>
      </c>
      <c r="K6" s="4"/>
      <c r="L6" s="4"/>
      <c r="M6" s="4"/>
      <c r="N6" s="4"/>
      <c r="O6" s="4"/>
      <c r="P6" s="4"/>
    </row>
    <row r="7" spans="1:16">
      <c r="A7" t="s">
        <v>102</v>
      </c>
      <c r="B7" t="s">
        <v>108</v>
      </c>
      <c r="D7" s="3" t="s">
        <v>122</v>
      </c>
      <c r="E7" s="3"/>
      <c r="K7" s="4"/>
      <c r="L7" s="4"/>
      <c r="M7" s="4"/>
      <c r="N7" s="4"/>
      <c r="O7" s="4"/>
      <c r="P7" s="4"/>
    </row>
    <row r="8" spans="1:16">
      <c r="A8" t="s">
        <v>103</v>
      </c>
      <c r="B8" t="s">
        <v>110</v>
      </c>
      <c r="K8" s="4"/>
      <c r="L8" s="4"/>
      <c r="M8" s="4"/>
      <c r="N8" s="4"/>
      <c r="O8" s="4"/>
      <c r="P8" s="4"/>
    </row>
    <row r="9" spans="1:16">
      <c r="A9" t="s">
        <v>109</v>
      </c>
      <c r="B9" t="s">
        <v>112</v>
      </c>
      <c r="K9" s="4"/>
      <c r="L9" s="4"/>
      <c r="M9" s="4"/>
      <c r="N9" s="4"/>
      <c r="O9" s="4"/>
      <c r="P9" s="4"/>
    </row>
    <row r="10" spans="1:16">
      <c r="A10" t="s">
        <v>111</v>
      </c>
      <c r="B10" t="s">
        <v>113</v>
      </c>
      <c r="D10" s="2" t="s">
        <v>121</v>
      </c>
      <c r="K10" s="4"/>
      <c r="L10" s="4"/>
      <c r="M10" s="4"/>
      <c r="N10" s="4"/>
      <c r="O10" s="4"/>
      <c r="P10" s="4"/>
    </row>
    <row r="11" spans="1:16">
      <c r="K11" s="44"/>
      <c r="L11" s="44"/>
      <c r="M11" s="44"/>
      <c r="N11" s="44"/>
      <c r="O11" s="44"/>
      <c r="P11" s="4"/>
    </row>
    <row r="12" spans="1:16" ht="16.5" thickBot="1">
      <c r="K12" s="44"/>
      <c r="L12" s="44"/>
      <c r="M12" s="44"/>
      <c r="N12" s="44"/>
      <c r="O12" s="44"/>
      <c r="P12" s="4"/>
    </row>
    <row r="13" spans="1:16">
      <c r="A13" s="11" t="s">
        <v>80</v>
      </c>
      <c r="B13" s="11" t="s">
        <v>99</v>
      </c>
      <c r="C13" s="11" t="s">
        <v>23</v>
      </c>
      <c r="D13" s="11" t="s">
        <v>58</v>
      </c>
      <c r="E13" s="48" t="s">
        <v>104</v>
      </c>
      <c r="F13" s="49" t="s">
        <v>107</v>
      </c>
      <c r="G13" s="50" t="s">
        <v>123</v>
      </c>
    </row>
    <row r="14" spans="1:16">
      <c r="A14" s="10">
        <v>1</v>
      </c>
      <c r="B14" s="10" t="s">
        <v>100</v>
      </c>
      <c r="C14" s="10">
        <v>3</v>
      </c>
      <c r="D14" s="10">
        <v>1</v>
      </c>
      <c r="E14" s="51" t="s">
        <v>126</v>
      </c>
      <c r="F14" s="52" t="s">
        <v>124</v>
      </c>
      <c r="G14" s="53" t="s">
        <v>127</v>
      </c>
      <c r="K14" s="1" t="s">
        <v>133</v>
      </c>
    </row>
    <row r="15" spans="1:16" ht="16.5" thickBot="1">
      <c r="A15" s="10">
        <v>2</v>
      </c>
      <c r="B15" s="10" t="s">
        <v>96</v>
      </c>
      <c r="C15" s="10"/>
      <c r="D15" s="10">
        <v>2</v>
      </c>
      <c r="E15" s="54" t="s">
        <v>105</v>
      </c>
      <c r="F15" s="55" t="s">
        <v>106</v>
      </c>
      <c r="G15" s="56" t="s">
        <v>106</v>
      </c>
      <c r="K15" s="59" t="s">
        <v>143</v>
      </c>
      <c r="L15" s="59"/>
    </row>
    <row r="16" spans="1:16">
      <c r="A16" s="10"/>
      <c r="B16" s="10"/>
      <c r="C16" s="10"/>
      <c r="D16" s="10"/>
      <c r="E16" s="10"/>
      <c r="F16" s="10"/>
      <c r="K16" t="s">
        <v>131</v>
      </c>
    </row>
    <row r="17" spans="1:17">
      <c r="A17" s="10"/>
      <c r="B17" s="10"/>
      <c r="C17" s="10"/>
      <c r="D17" s="10"/>
      <c r="E17" s="10"/>
      <c r="F17" s="10"/>
      <c r="K17" t="s">
        <v>132</v>
      </c>
    </row>
    <row r="18" spans="1:17">
      <c r="A18" s="10"/>
      <c r="B18" s="10"/>
      <c r="C18" s="10"/>
      <c r="D18" s="10"/>
      <c r="E18" s="10"/>
      <c r="F18" s="10"/>
    </row>
    <row r="19" spans="1:17">
      <c r="A19" s="10"/>
      <c r="B19" s="10"/>
      <c r="C19" s="10"/>
      <c r="D19" s="10"/>
      <c r="E19" s="10"/>
      <c r="F19" s="10"/>
      <c r="K19" s="18" t="s">
        <v>163</v>
      </c>
    </row>
    <row r="20" spans="1:17">
      <c r="A20" s="10"/>
      <c r="B20" s="10"/>
      <c r="C20" s="10"/>
      <c r="D20" s="10"/>
      <c r="E20" s="10"/>
      <c r="F20" s="10"/>
    </row>
    <row r="21" spans="1:17" ht="16.5" thickBot="1">
      <c r="A21" s="10"/>
      <c r="B21" s="10"/>
      <c r="C21" s="10"/>
      <c r="D21" s="10"/>
      <c r="E21" s="10"/>
      <c r="F21" s="10"/>
    </row>
    <row r="22" spans="1:17">
      <c r="A22" s="10"/>
      <c r="B22" s="10"/>
      <c r="C22" s="10"/>
      <c r="D22" s="10"/>
      <c r="E22" s="10"/>
      <c r="F22" s="10"/>
      <c r="K22" s="35" t="s">
        <v>153</v>
      </c>
      <c r="L22" s="36" t="s">
        <v>167</v>
      </c>
      <c r="M22" s="36" t="s">
        <v>158</v>
      </c>
      <c r="N22" s="36"/>
      <c r="O22" s="36" t="s">
        <v>130</v>
      </c>
      <c r="P22" s="36" t="s">
        <v>158</v>
      </c>
      <c r="Q22" s="37"/>
    </row>
    <row r="23" spans="1:17">
      <c r="A23" s="10"/>
      <c r="B23" s="10"/>
      <c r="C23" s="10"/>
      <c r="D23" s="10"/>
      <c r="E23" s="10"/>
      <c r="F23" s="10"/>
      <c r="K23" s="38" t="s">
        <v>134</v>
      </c>
      <c r="L23" s="57" t="s">
        <v>169</v>
      </c>
      <c r="M23" s="39">
        <v>2</v>
      </c>
      <c r="N23" s="39"/>
      <c r="O23" s="57" t="s">
        <v>168</v>
      </c>
      <c r="P23" s="39">
        <v>1</v>
      </c>
      <c r="Q23" s="40"/>
    </row>
    <row r="24" spans="1:17">
      <c r="A24" s="10"/>
      <c r="B24" s="10"/>
      <c r="C24" s="10"/>
      <c r="D24" s="10"/>
      <c r="E24" s="10"/>
      <c r="F24" s="10"/>
      <c r="K24" s="24" t="s">
        <v>136</v>
      </c>
      <c r="L24" s="57" t="s">
        <v>169</v>
      </c>
      <c r="M24" s="39">
        <v>2</v>
      </c>
      <c r="N24" s="39"/>
      <c r="O24" s="57" t="s">
        <v>168</v>
      </c>
      <c r="P24" s="39">
        <v>1</v>
      </c>
      <c r="Q24" s="40"/>
    </row>
    <row r="25" spans="1:17">
      <c r="A25" s="10"/>
      <c r="B25" s="10"/>
      <c r="C25" s="10"/>
      <c r="D25" s="10"/>
      <c r="E25" s="10"/>
      <c r="F25" s="10"/>
      <c r="K25" s="24" t="s">
        <v>138</v>
      </c>
      <c r="L25" s="57" t="s">
        <v>169</v>
      </c>
      <c r="M25" s="39">
        <v>2</v>
      </c>
      <c r="N25" s="39"/>
      <c r="O25" s="57" t="s">
        <v>168</v>
      </c>
      <c r="P25" s="39">
        <v>1</v>
      </c>
      <c r="Q25" s="40"/>
    </row>
    <row r="26" spans="1:17">
      <c r="A26" s="10"/>
      <c r="B26" s="10"/>
      <c r="C26" s="10"/>
      <c r="D26" s="10"/>
      <c r="E26" s="10"/>
      <c r="F26" s="10"/>
      <c r="K26" s="24" t="s">
        <v>159</v>
      </c>
      <c r="L26" s="57"/>
      <c r="M26" s="39"/>
      <c r="N26" s="39"/>
      <c r="O26" s="57"/>
      <c r="P26" s="39"/>
      <c r="Q26" s="40"/>
    </row>
    <row r="27" spans="1:17">
      <c r="A27" s="10"/>
      <c r="B27" s="10"/>
      <c r="C27" s="10"/>
      <c r="D27" s="10"/>
      <c r="E27" s="10"/>
      <c r="F27" s="10"/>
      <c r="K27" s="24" t="s">
        <v>139</v>
      </c>
      <c r="L27" s="57" t="s">
        <v>169</v>
      </c>
      <c r="M27" s="58">
        <v>2</v>
      </c>
      <c r="N27" s="58"/>
      <c r="O27" s="57" t="s">
        <v>168</v>
      </c>
      <c r="P27" s="39">
        <v>1</v>
      </c>
      <c r="Q27" s="40"/>
    </row>
    <row r="28" spans="1:17">
      <c r="A28" s="10"/>
      <c r="B28" s="10"/>
      <c r="C28" s="10"/>
      <c r="D28" s="10"/>
      <c r="E28" s="10"/>
      <c r="F28" s="10"/>
      <c r="K28" s="24" t="s">
        <v>140</v>
      </c>
      <c r="L28" s="57" t="s">
        <v>169</v>
      </c>
      <c r="M28" s="58">
        <v>2</v>
      </c>
      <c r="N28" s="58"/>
      <c r="O28" s="57" t="s">
        <v>168</v>
      </c>
      <c r="P28" s="39">
        <v>1</v>
      </c>
      <c r="Q28" s="40"/>
    </row>
    <row r="29" spans="1:17">
      <c r="A29" s="10"/>
      <c r="B29" s="10"/>
      <c r="C29" s="10"/>
      <c r="D29" s="10"/>
      <c r="E29" s="10"/>
      <c r="F29" s="10"/>
      <c r="K29" s="24" t="s">
        <v>141</v>
      </c>
      <c r="L29" s="57" t="s">
        <v>169</v>
      </c>
      <c r="M29" s="58">
        <v>2</v>
      </c>
      <c r="N29" s="58"/>
      <c r="O29" s="57" t="s">
        <v>168</v>
      </c>
      <c r="P29" s="39">
        <v>1</v>
      </c>
      <c r="Q29" s="40"/>
    </row>
    <row r="30" spans="1:17">
      <c r="A30" s="10"/>
      <c r="B30" s="10"/>
      <c r="C30" s="10"/>
      <c r="D30" s="10"/>
      <c r="E30" s="10"/>
      <c r="F30" s="10"/>
      <c r="K30" s="24"/>
      <c r="L30" s="39"/>
      <c r="M30" s="39"/>
      <c r="N30" s="39"/>
      <c r="O30" s="39"/>
      <c r="P30" s="39"/>
      <c r="Q30" s="40"/>
    </row>
    <row r="31" spans="1:17">
      <c r="A31" s="10"/>
      <c r="B31" s="10"/>
      <c r="C31" s="10"/>
      <c r="D31" s="10"/>
      <c r="E31" s="10"/>
      <c r="F31" s="10"/>
      <c r="K31" s="26" t="s">
        <v>154</v>
      </c>
      <c r="L31" s="39"/>
      <c r="M31" s="39"/>
      <c r="N31" s="39"/>
      <c r="O31" s="39"/>
      <c r="P31" s="39"/>
      <c r="Q31" s="40"/>
    </row>
    <row r="32" spans="1:17">
      <c r="A32" s="10"/>
      <c r="B32" s="10"/>
      <c r="C32" s="10"/>
      <c r="D32" s="10"/>
      <c r="E32" s="10"/>
      <c r="F32" s="10"/>
      <c r="K32" s="24" t="s">
        <v>142</v>
      </c>
      <c r="L32" s="39" t="s">
        <v>135</v>
      </c>
      <c r="M32" s="39"/>
      <c r="N32" s="39"/>
      <c r="O32" s="39" t="s">
        <v>155</v>
      </c>
      <c r="P32" s="39"/>
      <c r="Q32" s="40" t="s">
        <v>157</v>
      </c>
    </row>
    <row r="33" spans="1:17">
      <c r="A33" s="10"/>
      <c r="B33" s="10"/>
      <c r="C33" s="10"/>
      <c r="D33" s="10"/>
      <c r="E33" s="10"/>
      <c r="F33" s="10"/>
      <c r="K33" s="24" t="s">
        <v>160</v>
      </c>
      <c r="L33" s="39" t="s">
        <v>137</v>
      </c>
      <c r="M33" s="39"/>
      <c r="N33" s="39"/>
      <c r="O33" s="39" t="s">
        <v>155</v>
      </c>
      <c r="P33" s="39"/>
      <c r="Q33" s="40" t="s">
        <v>157</v>
      </c>
    </row>
    <row r="34" spans="1:17">
      <c r="A34" s="10"/>
      <c r="B34" s="10"/>
      <c r="C34" s="10"/>
      <c r="D34" s="10"/>
      <c r="E34" s="10"/>
      <c r="F34" s="10"/>
      <c r="K34" s="24" t="s">
        <v>144</v>
      </c>
      <c r="L34" s="39" t="s">
        <v>135</v>
      </c>
      <c r="M34" s="39"/>
      <c r="N34" s="39"/>
      <c r="O34" s="39" t="s">
        <v>155</v>
      </c>
      <c r="P34" s="39"/>
      <c r="Q34" s="40" t="s">
        <v>157</v>
      </c>
    </row>
    <row r="35" spans="1:17">
      <c r="A35" s="10"/>
      <c r="B35" s="10"/>
      <c r="C35" s="10"/>
      <c r="D35" s="10"/>
      <c r="E35" s="10"/>
      <c r="F35" s="10"/>
      <c r="K35" s="24" t="s">
        <v>145</v>
      </c>
      <c r="L35" s="39" t="s">
        <v>137</v>
      </c>
      <c r="M35" s="39"/>
      <c r="N35" s="39"/>
      <c r="O35" s="39" t="s">
        <v>155</v>
      </c>
      <c r="P35" s="39"/>
      <c r="Q35" s="40" t="s">
        <v>157</v>
      </c>
    </row>
    <row r="36" spans="1:17">
      <c r="A36" s="10"/>
      <c r="B36" s="10"/>
      <c r="C36" s="10"/>
      <c r="D36" s="10"/>
      <c r="E36" s="10"/>
      <c r="F36" s="10"/>
      <c r="K36" s="24" t="s">
        <v>146</v>
      </c>
      <c r="L36" s="39" t="s">
        <v>135</v>
      </c>
      <c r="M36" s="39"/>
      <c r="O36" s="39" t="s">
        <v>155</v>
      </c>
      <c r="P36" s="39"/>
      <c r="Q36" s="40" t="s">
        <v>157</v>
      </c>
    </row>
    <row r="37" spans="1:17">
      <c r="A37" s="10"/>
      <c r="B37" s="10"/>
      <c r="C37" s="10"/>
      <c r="D37" s="10"/>
      <c r="E37" s="10"/>
      <c r="F37" s="10"/>
      <c r="K37" s="24" t="s">
        <v>147</v>
      </c>
      <c r="L37" s="39" t="s">
        <v>137</v>
      </c>
      <c r="M37" s="39"/>
      <c r="N37" s="39"/>
      <c r="O37" s="39" t="s">
        <v>155</v>
      </c>
      <c r="P37" s="39"/>
      <c r="Q37" s="40" t="s">
        <v>157</v>
      </c>
    </row>
    <row r="38" spans="1:17">
      <c r="A38" s="10"/>
      <c r="B38" s="10"/>
      <c r="C38" s="10"/>
      <c r="D38" s="10"/>
      <c r="E38" s="10"/>
      <c r="F38" s="10"/>
      <c r="K38" s="24" t="s">
        <v>148</v>
      </c>
      <c r="L38" s="39" t="s">
        <v>135</v>
      </c>
      <c r="M38" s="39"/>
      <c r="N38" s="39"/>
      <c r="O38" s="39" t="s">
        <v>155</v>
      </c>
      <c r="P38" s="39"/>
      <c r="Q38" s="40" t="s">
        <v>157</v>
      </c>
    </row>
    <row r="39" spans="1:17">
      <c r="A39" s="10"/>
      <c r="B39" s="10"/>
      <c r="C39" s="10"/>
      <c r="D39" s="10"/>
      <c r="E39" s="10"/>
      <c r="F39" s="10"/>
      <c r="K39" s="24" t="s">
        <v>150</v>
      </c>
      <c r="L39" s="39" t="s">
        <v>137</v>
      </c>
      <c r="M39" s="39"/>
      <c r="N39" s="39"/>
      <c r="O39" s="39" t="s">
        <v>155</v>
      </c>
      <c r="P39" s="39"/>
      <c r="Q39" s="40" t="s">
        <v>157</v>
      </c>
    </row>
    <row r="40" spans="1:17">
      <c r="A40" s="10"/>
      <c r="B40" s="10"/>
      <c r="C40" s="10"/>
      <c r="D40" s="10"/>
      <c r="E40" s="10"/>
      <c r="F40" s="10"/>
      <c r="K40" s="24" t="s">
        <v>151</v>
      </c>
      <c r="L40" s="39" t="s">
        <v>135</v>
      </c>
      <c r="M40" s="39"/>
      <c r="N40" s="39"/>
      <c r="O40" s="39" t="s">
        <v>155</v>
      </c>
      <c r="P40" s="39"/>
      <c r="Q40" s="40" t="s">
        <v>157</v>
      </c>
    </row>
    <row r="41" spans="1:17" ht="16.5" thickBot="1">
      <c r="A41" s="10"/>
      <c r="B41" s="10"/>
      <c r="C41" s="10"/>
      <c r="D41" s="10"/>
      <c r="E41" s="10"/>
      <c r="F41" s="10"/>
      <c r="K41" s="41" t="s">
        <v>152</v>
      </c>
      <c r="L41" s="42" t="s">
        <v>137</v>
      </c>
      <c r="M41" s="42"/>
      <c r="N41" s="42"/>
      <c r="O41" s="42" t="s">
        <v>155</v>
      </c>
      <c r="P41" s="42"/>
      <c r="Q41" s="43" t="s">
        <v>157</v>
      </c>
    </row>
    <row r="42" spans="1:17">
      <c r="A42" s="10"/>
      <c r="B42" s="10"/>
      <c r="C42" s="10"/>
      <c r="D42" s="10"/>
      <c r="E42" s="10"/>
      <c r="F42" s="10"/>
    </row>
    <row r="43" spans="1:17">
      <c r="A43" s="10"/>
      <c r="B43" s="10"/>
      <c r="C43" s="10"/>
      <c r="D43" s="10"/>
      <c r="E43" s="10"/>
      <c r="F43" s="10"/>
      <c r="K43" s="39" t="s">
        <v>149</v>
      </c>
    </row>
    <row r="44" spans="1:17">
      <c r="A44" s="10"/>
      <c r="B44" s="10"/>
      <c r="C44" s="10"/>
      <c r="D44" s="10"/>
      <c r="E44" s="10"/>
      <c r="F44" s="10"/>
    </row>
    <row r="45" spans="1:17">
      <c r="A45" s="10"/>
      <c r="B45" s="10"/>
      <c r="C45" s="10"/>
      <c r="D45" s="10"/>
      <c r="E45" s="10"/>
      <c r="F45" s="10"/>
    </row>
    <row r="47" spans="1:17">
      <c r="K47" s="81" t="s">
        <v>173</v>
      </c>
      <c r="M47" t="s">
        <v>177</v>
      </c>
    </row>
    <row r="48" spans="1:17">
      <c r="K48" t="s">
        <v>174</v>
      </c>
      <c r="L48" t="s">
        <v>175</v>
      </c>
      <c r="M48" s="82">
        <f ca="1">NOW()</f>
        <v>44532.493415856479</v>
      </c>
    </row>
    <row r="49" spans="11:16">
      <c r="L49" t="s">
        <v>176</v>
      </c>
    </row>
    <row r="50" spans="11:16">
      <c r="L50" t="s">
        <v>178</v>
      </c>
    </row>
    <row r="51" spans="11:16">
      <c r="L51" t="s">
        <v>179</v>
      </c>
    </row>
    <row r="53" spans="11:16" ht="16.5" thickBot="1"/>
    <row r="54" spans="11:16">
      <c r="K54" s="22" t="s">
        <v>181</v>
      </c>
      <c r="L54" s="36" t="s">
        <v>187</v>
      </c>
      <c r="M54" s="36"/>
      <c r="N54" s="36"/>
      <c r="O54" s="36"/>
      <c r="P54" s="37"/>
    </row>
    <row r="55" spans="11:16">
      <c r="K55" s="24">
        <v>1</v>
      </c>
      <c r="L55" s="39" t="s">
        <v>192</v>
      </c>
      <c r="M55" s="39"/>
      <c r="N55" s="39" t="s">
        <v>185</v>
      </c>
      <c r="O55" s="39" t="s">
        <v>189</v>
      </c>
      <c r="P55" s="40" t="s">
        <v>188</v>
      </c>
    </row>
    <row r="56" spans="11:16">
      <c r="K56" s="24">
        <v>1</v>
      </c>
      <c r="L56" s="39" t="s">
        <v>192</v>
      </c>
      <c r="M56" s="39"/>
      <c r="N56" s="39"/>
      <c r="O56" s="39"/>
      <c r="P56" s="40"/>
    </row>
    <row r="57" spans="11:16">
      <c r="K57" s="24">
        <v>1</v>
      </c>
      <c r="L57" s="39" t="s">
        <v>191</v>
      </c>
      <c r="M57" s="39"/>
      <c r="N57" s="39"/>
      <c r="O57" s="39"/>
      <c r="P57" s="40"/>
    </row>
    <row r="58" spans="11:16">
      <c r="K58" s="24"/>
      <c r="L58" s="39"/>
      <c r="M58" s="39"/>
      <c r="N58" s="39"/>
      <c r="O58" s="39"/>
      <c r="P58" s="40"/>
    </row>
    <row r="59" spans="11:16">
      <c r="K59" s="24" t="s">
        <v>182</v>
      </c>
      <c r="L59" s="39" t="s">
        <v>187</v>
      </c>
      <c r="M59" s="39"/>
      <c r="N59" s="39"/>
      <c r="O59" s="39"/>
      <c r="P59" s="40"/>
    </row>
    <row r="60" spans="11:16">
      <c r="K60" s="24">
        <v>1</v>
      </c>
      <c r="L60" s="39" t="s">
        <v>180</v>
      </c>
      <c r="M60" s="39"/>
      <c r="N60" s="39" t="s">
        <v>184</v>
      </c>
      <c r="O60" s="39" t="s">
        <v>186</v>
      </c>
      <c r="P60" s="40" t="s">
        <v>188</v>
      </c>
    </row>
    <row r="61" spans="11:16">
      <c r="K61" s="24">
        <v>1</v>
      </c>
      <c r="L61" s="39" t="s">
        <v>183</v>
      </c>
      <c r="M61" s="39"/>
      <c r="N61" s="39"/>
      <c r="O61" s="39"/>
      <c r="P61" s="40"/>
    </row>
    <row r="62" spans="11:16" ht="16.5" thickBot="1">
      <c r="K62" s="41">
        <v>1</v>
      </c>
      <c r="L62" s="42" t="s">
        <v>183</v>
      </c>
      <c r="M62" s="42"/>
      <c r="N62" s="42"/>
      <c r="O62" s="42"/>
      <c r="P62" s="43"/>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P84"/>
  <sheetViews>
    <sheetView workbookViewId="0">
      <selection activeCell="E86" sqref="E86"/>
    </sheetView>
  </sheetViews>
  <sheetFormatPr defaultColWidth="11" defaultRowHeight="15.75"/>
  <cols>
    <col min="1" max="1" width="17" customWidth="1"/>
    <col min="2" max="2" width="32.5" customWidth="1"/>
    <col min="3" max="3" width="41.125" customWidth="1"/>
    <col min="4" max="4" width="23.625" customWidth="1"/>
    <col min="5" max="5" width="40.125" customWidth="1"/>
    <col min="6" max="6" width="34.125" customWidth="1"/>
    <col min="7" max="7" width="33.5" customWidth="1"/>
    <col min="8" max="8" width="31.125" customWidth="1"/>
    <col min="9" max="9" width="28.375" customWidth="1"/>
    <col min="10" max="10" width="40.5" customWidth="1"/>
    <col min="11" max="11" width="22.875" customWidth="1"/>
  </cols>
  <sheetData>
    <row r="1" spans="1:7">
      <c r="A1" t="s">
        <v>71</v>
      </c>
      <c r="C1" t="s">
        <v>72</v>
      </c>
    </row>
    <row r="3" spans="1:7">
      <c r="A3" s="1" t="s">
        <v>52</v>
      </c>
      <c r="C3" s="2" t="s">
        <v>73</v>
      </c>
      <c r="D3" s="3"/>
      <c r="E3" s="3"/>
    </row>
    <row r="5" spans="1:7">
      <c r="A5" s="2" t="s">
        <v>0</v>
      </c>
      <c r="C5" t="s">
        <v>120</v>
      </c>
    </row>
    <row r="7" spans="1:7">
      <c r="A7" s="1" t="s">
        <v>2</v>
      </c>
    </row>
    <row r="8" spans="1:7" ht="16.5" thickBot="1">
      <c r="A8" s="1"/>
      <c r="E8" s="1" t="s">
        <v>20</v>
      </c>
    </row>
    <row r="9" spans="1:7">
      <c r="A9" s="22" t="s">
        <v>3</v>
      </c>
      <c r="B9" s="36" t="s">
        <v>1</v>
      </c>
      <c r="C9" s="36"/>
      <c r="D9" s="36"/>
      <c r="E9" s="37" t="s">
        <v>43</v>
      </c>
      <c r="F9" s="34"/>
      <c r="G9" s="4"/>
    </row>
    <row r="10" spans="1:7">
      <c r="A10" s="24"/>
      <c r="B10" s="39" t="s">
        <v>86</v>
      </c>
      <c r="C10" s="39"/>
      <c r="D10" s="39"/>
      <c r="E10" s="40" t="s">
        <v>33</v>
      </c>
    </row>
    <row r="11" spans="1:7">
      <c r="A11" s="24"/>
      <c r="B11" s="39" t="s">
        <v>4</v>
      </c>
      <c r="C11" s="39"/>
      <c r="D11" s="39"/>
      <c r="E11" s="40" t="s">
        <v>31</v>
      </c>
    </row>
    <row r="12" spans="1:7">
      <c r="A12" s="24"/>
      <c r="B12" s="39" t="s">
        <v>8</v>
      </c>
      <c r="C12" s="39"/>
      <c r="D12" s="39"/>
      <c r="E12" s="40" t="s">
        <v>30</v>
      </c>
    </row>
    <row r="13" spans="1:7">
      <c r="A13" s="24"/>
      <c r="B13" s="39" t="s">
        <v>5</v>
      </c>
      <c r="C13" s="39"/>
      <c r="D13" s="39"/>
      <c r="E13" s="40" t="s">
        <v>30</v>
      </c>
    </row>
    <row r="14" spans="1:7">
      <c r="A14" s="24"/>
      <c r="B14" s="39" t="s">
        <v>6</v>
      </c>
      <c r="C14" s="39"/>
      <c r="D14" s="39"/>
      <c r="E14" s="40" t="s">
        <v>28</v>
      </c>
    </row>
    <row r="15" spans="1:7">
      <c r="A15" s="24"/>
      <c r="B15" s="39" t="s">
        <v>7</v>
      </c>
      <c r="C15" s="39"/>
      <c r="D15" s="39"/>
      <c r="E15" s="40" t="s">
        <v>29</v>
      </c>
    </row>
    <row r="16" spans="1:7">
      <c r="A16" s="24"/>
      <c r="B16" s="39" t="s">
        <v>9</v>
      </c>
      <c r="C16" s="39"/>
      <c r="D16" s="39"/>
      <c r="E16" s="40" t="s">
        <v>19</v>
      </c>
    </row>
    <row r="17" spans="1:16">
      <c r="A17" s="24"/>
      <c r="B17" s="39" t="s">
        <v>10</v>
      </c>
      <c r="C17" s="39"/>
      <c r="D17" s="39"/>
      <c r="E17" s="40" t="s">
        <v>21</v>
      </c>
    </row>
    <row r="18" spans="1:16">
      <c r="A18" s="24"/>
      <c r="B18" s="39"/>
      <c r="C18" s="39"/>
      <c r="D18" s="39"/>
      <c r="E18" s="40"/>
    </row>
    <row r="19" spans="1:16">
      <c r="A19" s="24" t="s">
        <v>11</v>
      </c>
      <c r="B19" s="39" t="s">
        <v>12</v>
      </c>
      <c r="C19" s="39"/>
      <c r="D19" s="39"/>
      <c r="E19" s="40"/>
    </row>
    <row r="20" spans="1:16">
      <c r="A20" s="24"/>
      <c r="B20" s="39"/>
      <c r="C20" s="39"/>
      <c r="D20" s="39"/>
      <c r="E20" s="40"/>
    </row>
    <row r="21" spans="1:16">
      <c r="A21" s="24" t="s">
        <v>13</v>
      </c>
      <c r="B21" s="39" t="s">
        <v>76</v>
      </c>
      <c r="C21" s="39"/>
      <c r="D21" s="39"/>
      <c r="E21" s="40" t="s">
        <v>26</v>
      </c>
      <c r="J21" s="33" t="s">
        <v>82</v>
      </c>
      <c r="K21" s="33"/>
      <c r="L21" s="33"/>
      <c r="M21" s="33"/>
      <c r="N21" s="33"/>
      <c r="O21" s="33"/>
      <c r="P21" s="33"/>
    </row>
    <row r="22" spans="1:16">
      <c r="A22" s="24"/>
      <c r="B22" s="45" t="s">
        <v>78</v>
      </c>
      <c r="C22" s="45"/>
      <c r="D22" s="45"/>
      <c r="E22" s="60" t="s">
        <v>22</v>
      </c>
      <c r="J22" s="33" t="s">
        <v>49</v>
      </c>
      <c r="K22" s="33"/>
      <c r="L22" s="33"/>
      <c r="M22" s="33"/>
      <c r="N22" s="33"/>
      <c r="O22" s="33"/>
      <c r="P22" s="33"/>
    </row>
    <row r="23" spans="1:16">
      <c r="A23" s="24"/>
      <c r="B23" s="45" t="s">
        <v>53</v>
      </c>
      <c r="C23" s="45"/>
      <c r="D23" s="45"/>
      <c r="E23" s="60" t="s">
        <v>27</v>
      </c>
      <c r="J23" s="33" t="s">
        <v>50</v>
      </c>
      <c r="K23" s="33"/>
      <c r="L23" s="33"/>
      <c r="M23" s="33"/>
      <c r="N23" s="33"/>
      <c r="O23" s="33"/>
      <c r="P23" s="33"/>
    </row>
    <row r="24" spans="1:16">
      <c r="A24" s="24"/>
      <c r="B24" s="39" t="s">
        <v>9</v>
      </c>
      <c r="C24" s="39"/>
      <c r="D24" s="39"/>
      <c r="E24" s="40" t="s">
        <v>19</v>
      </c>
      <c r="J24" s="33"/>
      <c r="K24" s="33"/>
      <c r="L24" s="33"/>
      <c r="M24" s="33"/>
      <c r="N24" s="33"/>
      <c r="O24" s="33"/>
      <c r="P24" s="33"/>
    </row>
    <row r="25" spans="1:16" ht="16.5" thickBot="1">
      <c r="A25" s="41"/>
      <c r="B25" s="42" t="s">
        <v>10</v>
      </c>
      <c r="C25" s="42"/>
      <c r="D25" s="42"/>
      <c r="E25" s="43" t="s">
        <v>21</v>
      </c>
      <c r="J25" s="33" t="s">
        <v>83</v>
      </c>
      <c r="K25" s="33"/>
      <c r="L25" s="33"/>
      <c r="M25" s="33"/>
      <c r="N25" s="33"/>
      <c r="O25" s="33"/>
      <c r="P25" s="33"/>
    </row>
    <row r="31" spans="1:16">
      <c r="A31" s="1" t="s">
        <v>46</v>
      </c>
      <c r="C31" t="s">
        <v>45</v>
      </c>
    </row>
    <row r="32" spans="1:16">
      <c r="A32" t="s">
        <v>14</v>
      </c>
    </row>
    <row r="33" spans="1:12">
      <c r="A33" t="s">
        <v>15</v>
      </c>
      <c r="B33" t="s">
        <v>16</v>
      </c>
      <c r="C33" t="s">
        <v>17</v>
      </c>
      <c r="D33" t="s">
        <v>47</v>
      </c>
      <c r="E33" t="s">
        <v>18</v>
      </c>
      <c r="J33" s="1" t="s">
        <v>63</v>
      </c>
      <c r="L33" s="1"/>
    </row>
    <row r="34" spans="1:12">
      <c r="A34">
        <v>1</v>
      </c>
      <c r="J34" t="s">
        <v>51</v>
      </c>
      <c r="K34" s="1" t="s">
        <v>75</v>
      </c>
    </row>
    <row r="35" spans="1:12">
      <c r="A35">
        <v>2</v>
      </c>
    </row>
    <row r="38" spans="1:12">
      <c r="A38" t="s">
        <v>25</v>
      </c>
    </row>
    <row r="39" spans="1:12">
      <c r="A39" t="s">
        <v>23</v>
      </c>
      <c r="B39" t="s">
        <v>97</v>
      </c>
      <c r="C39" t="s">
        <v>16</v>
      </c>
      <c r="D39" t="s">
        <v>17</v>
      </c>
      <c r="E39" s="1" t="s">
        <v>44</v>
      </c>
      <c r="F39" t="s">
        <v>24</v>
      </c>
    </row>
    <row r="40" spans="1:12">
      <c r="A40">
        <v>1</v>
      </c>
      <c r="B40" t="s">
        <v>68</v>
      </c>
      <c r="F40" t="s">
        <v>32</v>
      </c>
      <c r="J40" s="1" t="s">
        <v>63</v>
      </c>
    </row>
    <row r="41" spans="1:12">
      <c r="A41">
        <v>2</v>
      </c>
      <c r="J41" t="s">
        <v>1</v>
      </c>
    </row>
    <row r="42" spans="1:12">
      <c r="J42" t="s">
        <v>86</v>
      </c>
    </row>
    <row r="43" spans="1:12">
      <c r="J43" t="s">
        <v>4</v>
      </c>
    </row>
    <row r="44" spans="1:12">
      <c r="J44" t="s">
        <v>8</v>
      </c>
    </row>
    <row r="45" spans="1:12">
      <c r="J45" t="s">
        <v>5</v>
      </c>
    </row>
    <row r="46" spans="1:12">
      <c r="J46" t="s">
        <v>6</v>
      </c>
    </row>
    <row r="47" spans="1:12">
      <c r="J47" t="s">
        <v>7</v>
      </c>
    </row>
    <row r="49" spans="1:16">
      <c r="A49" t="s">
        <v>34</v>
      </c>
    </row>
    <row r="50" spans="1:16">
      <c r="A50" t="s">
        <v>35</v>
      </c>
      <c r="B50" t="s">
        <v>79</v>
      </c>
      <c r="C50" t="s">
        <v>16</v>
      </c>
      <c r="D50" t="s">
        <v>17</v>
      </c>
      <c r="E50" s="1" t="s">
        <v>44</v>
      </c>
      <c r="F50" t="s">
        <v>37</v>
      </c>
      <c r="J50" s="1" t="s">
        <v>77</v>
      </c>
    </row>
    <row r="51" spans="1:16">
      <c r="A51">
        <v>1</v>
      </c>
      <c r="B51" t="s">
        <v>36</v>
      </c>
      <c r="J51" t="s">
        <v>9</v>
      </c>
    </row>
    <row r="52" spans="1:16">
      <c r="A52">
        <v>2</v>
      </c>
      <c r="J52" t="s">
        <v>10</v>
      </c>
      <c r="K52" s="1" t="s">
        <v>74</v>
      </c>
    </row>
    <row r="55" spans="1:16">
      <c r="A55" s="3" t="s">
        <v>59</v>
      </c>
      <c r="B55" s="3"/>
      <c r="C55" s="3"/>
      <c r="D55" s="3"/>
      <c r="E55" s="3"/>
      <c r="F55" s="3"/>
      <c r="G55" s="3"/>
      <c r="H55" s="3"/>
      <c r="I55" s="3"/>
      <c r="J55" s="3"/>
      <c r="K55" s="3"/>
      <c r="L55" s="3"/>
      <c r="M55" s="3"/>
      <c r="N55" s="3"/>
      <c r="O55" s="3"/>
      <c r="P55" s="3"/>
    </row>
    <row r="56" spans="1:16">
      <c r="A56" s="3" t="s">
        <v>38</v>
      </c>
      <c r="B56" s="3" t="s">
        <v>16</v>
      </c>
      <c r="C56" s="3" t="s">
        <v>17</v>
      </c>
      <c r="D56" s="2" t="s">
        <v>44</v>
      </c>
      <c r="E56" s="2" t="s">
        <v>64</v>
      </c>
      <c r="F56" s="3"/>
      <c r="G56" s="3"/>
      <c r="H56" s="3"/>
      <c r="I56" s="3"/>
      <c r="J56" s="2" t="s">
        <v>77</v>
      </c>
      <c r="K56" s="3"/>
      <c r="L56" s="3"/>
      <c r="M56" s="3"/>
      <c r="N56" s="3"/>
      <c r="O56" s="3"/>
      <c r="P56" s="3"/>
    </row>
    <row r="57" spans="1:16">
      <c r="A57" s="3">
        <v>1</v>
      </c>
      <c r="B57" s="3"/>
      <c r="C57" s="3"/>
      <c r="D57" s="3"/>
      <c r="E57" s="3"/>
      <c r="F57" s="3"/>
      <c r="G57" s="3"/>
      <c r="H57" s="3"/>
      <c r="I57" s="3"/>
      <c r="J57" s="13" t="s">
        <v>78</v>
      </c>
      <c r="K57" s="2" t="s">
        <v>74</v>
      </c>
      <c r="L57" s="3"/>
      <c r="M57" s="3"/>
      <c r="N57" s="3"/>
      <c r="O57" s="3"/>
      <c r="P57" s="3"/>
    </row>
    <row r="58" spans="1:16">
      <c r="A58" s="3">
        <v>2</v>
      </c>
      <c r="B58" s="3"/>
      <c r="C58" s="3"/>
      <c r="D58" s="3"/>
      <c r="E58" s="3"/>
      <c r="F58" s="3"/>
      <c r="G58" s="3"/>
      <c r="H58" s="3"/>
      <c r="I58" s="3"/>
      <c r="J58" s="3"/>
      <c r="K58" s="3"/>
      <c r="L58" s="3"/>
      <c r="M58" s="3"/>
      <c r="N58" s="3"/>
      <c r="O58" s="3"/>
      <c r="P58" s="3"/>
    </row>
    <row r="61" spans="1:16">
      <c r="A61" s="3" t="s">
        <v>62</v>
      </c>
      <c r="B61" s="3"/>
      <c r="C61" s="3"/>
      <c r="D61" s="3"/>
      <c r="E61" s="3"/>
      <c r="F61" s="3"/>
      <c r="G61" s="3"/>
      <c r="H61" s="3"/>
      <c r="I61" s="3"/>
      <c r="J61" s="3"/>
      <c r="K61" s="3"/>
      <c r="L61" s="3"/>
      <c r="M61" s="3"/>
      <c r="N61" s="3"/>
      <c r="O61" s="3"/>
      <c r="P61" s="3"/>
    </row>
    <row r="62" spans="1:16">
      <c r="A62" s="3" t="s">
        <v>39</v>
      </c>
      <c r="B62" s="3" t="s">
        <v>16</v>
      </c>
      <c r="C62" s="3" t="s">
        <v>17</v>
      </c>
      <c r="D62" s="2" t="s">
        <v>44</v>
      </c>
      <c r="E62" s="2" t="s">
        <v>65</v>
      </c>
      <c r="F62" s="3"/>
      <c r="G62" s="3"/>
      <c r="H62" s="3"/>
      <c r="I62" s="3"/>
      <c r="J62" s="2" t="s">
        <v>77</v>
      </c>
      <c r="K62" s="3"/>
      <c r="L62" s="3"/>
      <c r="M62" s="3"/>
      <c r="N62" s="3"/>
      <c r="O62" s="3"/>
      <c r="P62" s="3"/>
    </row>
    <row r="63" spans="1:16">
      <c r="A63" s="3">
        <v>1</v>
      </c>
      <c r="B63" s="3"/>
      <c r="C63" s="3"/>
      <c r="D63" s="3"/>
      <c r="E63" s="3"/>
      <c r="F63" s="3"/>
      <c r="G63" s="3"/>
      <c r="H63" s="3"/>
      <c r="I63" s="3"/>
      <c r="J63" s="3" t="s">
        <v>53</v>
      </c>
      <c r="K63" s="2" t="s">
        <v>74</v>
      </c>
      <c r="L63" s="3"/>
      <c r="M63" s="3"/>
      <c r="N63" s="3"/>
      <c r="O63" s="3"/>
      <c r="P63" s="3"/>
    </row>
    <row r="64" spans="1:16">
      <c r="A64" s="3">
        <v>2</v>
      </c>
      <c r="B64" s="3"/>
      <c r="C64" s="3"/>
      <c r="D64" s="3"/>
      <c r="E64" s="3"/>
      <c r="F64" s="3"/>
      <c r="G64" s="3"/>
      <c r="H64" s="3"/>
      <c r="I64" s="3"/>
      <c r="J64" s="3"/>
      <c r="K64" s="3"/>
      <c r="L64" s="3"/>
      <c r="M64" s="3"/>
      <c r="N64" s="3"/>
      <c r="O64" s="3"/>
      <c r="P64" s="3"/>
    </row>
    <row r="67" spans="1:11">
      <c r="A67" s="1" t="s">
        <v>48</v>
      </c>
    </row>
    <row r="68" spans="1:11">
      <c r="A68" t="s">
        <v>80</v>
      </c>
      <c r="B68" t="s">
        <v>79</v>
      </c>
      <c r="C68" s="7" t="s">
        <v>23</v>
      </c>
      <c r="D68" t="s">
        <v>58</v>
      </c>
      <c r="E68" t="s">
        <v>40</v>
      </c>
      <c r="F68" s="1" t="s">
        <v>42</v>
      </c>
      <c r="G68" t="s">
        <v>81</v>
      </c>
      <c r="H68" s="2" t="s">
        <v>123</v>
      </c>
      <c r="I68" s="1" t="s">
        <v>60</v>
      </c>
      <c r="K68" s="1" t="s">
        <v>84</v>
      </c>
    </row>
    <row r="69" spans="1:11">
      <c r="A69">
        <v>1</v>
      </c>
      <c r="B69" t="s">
        <v>36</v>
      </c>
      <c r="D69" t="s">
        <v>55</v>
      </c>
      <c r="E69" t="s">
        <v>41</v>
      </c>
      <c r="I69" t="s">
        <v>61</v>
      </c>
      <c r="K69" s="5" t="s">
        <v>56</v>
      </c>
    </row>
    <row r="70" spans="1:11">
      <c r="A70">
        <v>2</v>
      </c>
      <c r="K70" t="s">
        <v>54</v>
      </c>
    </row>
    <row r="71" spans="1:11">
      <c r="K71" t="s">
        <v>57</v>
      </c>
    </row>
    <row r="73" spans="1:11">
      <c r="C73" s="6"/>
      <c r="D73" s="4"/>
      <c r="E73" s="4"/>
    </row>
    <row r="74" spans="1:11">
      <c r="C74" s="4"/>
      <c r="D74" s="6"/>
      <c r="E74" s="4"/>
    </row>
    <row r="75" spans="1:11">
      <c r="C75" s="4"/>
      <c r="D75" s="4"/>
      <c r="E75" s="4"/>
    </row>
    <row r="76" spans="1:11">
      <c r="C76" s="4"/>
      <c r="D76" s="4"/>
      <c r="E76" s="4"/>
    </row>
    <row r="77" spans="1:11">
      <c r="C77" s="4"/>
      <c r="D77" s="4"/>
      <c r="E77" s="4"/>
    </row>
    <row r="78" spans="1:11">
      <c r="C78" s="4"/>
      <c r="D78" s="4"/>
      <c r="E78" s="4"/>
    </row>
    <row r="79" spans="1:11">
      <c r="C79" s="4"/>
      <c r="D79" s="4"/>
      <c r="E79" s="4"/>
    </row>
    <row r="80" spans="1:11">
      <c r="C80" s="4"/>
      <c r="D80" s="4"/>
      <c r="E80" s="4"/>
    </row>
    <row r="81" spans="3:5">
      <c r="C81" s="4"/>
      <c r="D81" s="4"/>
      <c r="E81" s="4"/>
    </row>
    <row r="82" spans="3:5">
      <c r="C82" s="4"/>
      <c r="D82" s="4"/>
      <c r="E82" s="4"/>
    </row>
    <row r="83" spans="3:5">
      <c r="C83" s="4"/>
      <c r="D83" s="6"/>
      <c r="E83" s="4"/>
    </row>
    <row r="84" spans="3:5">
      <c r="C84" s="4"/>
      <c r="D84" s="4"/>
      <c r="E84" s="4"/>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2:E113"/>
  <sheetViews>
    <sheetView workbookViewId="0">
      <selection activeCell="D21" sqref="D21"/>
    </sheetView>
  </sheetViews>
  <sheetFormatPr defaultColWidth="11" defaultRowHeight="15.75"/>
  <cols>
    <col min="1" max="2" width="43.125" customWidth="1"/>
    <col min="3" max="3" width="30.375" style="16" customWidth="1"/>
    <col min="4" max="4" width="32.125" style="16" customWidth="1"/>
  </cols>
  <sheetData>
    <row r="2" spans="1:4">
      <c r="A2" t="s">
        <v>85</v>
      </c>
    </row>
    <row r="4" spans="1:4">
      <c r="A4" s="9" t="s">
        <v>67</v>
      </c>
      <c r="B4" s="9"/>
    </row>
    <row r="6" spans="1:4">
      <c r="A6" s="1" t="s">
        <v>114</v>
      </c>
      <c r="B6" s="1"/>
    </row>
    <row r="9" spans="1:4">
      <c r="A9" s="12" t="s">
        <v>118</v>
      </c>
      <c r="B9" s="12" t="s">
        <v>116</v>
      </c>
      <c r="C9" s="21" t="s">
        <v>16</v>
      </c>
      <c r="D9" s="21" t="s">
        <v>17</v>
      </c>
    </row>
    <row r="10" spans="1:4">
      <c r="B10" s="12" t="s">
        <v>115</v>
      </c>
      <c r="C10" s="21">
        <v>0.54515046296296299</v>
      </c>
      <c r="D10" s="21">
        <v>0.54600694444444442</v>
      </c>
    </row>
    <row r="11" spans="1:4">
      <c r="B11" s="12" t="s">
        <v>117</v>
      </c>
      <c r="C11" s="21">
        <v>0.55803240740740734</v>
      </c>
      <c r="D11" s="21">
        <v>0.55850694444444449</v>
      </c>
    </row>
    <row r="12" spans="1:4">
      <c r="B12" s="8"/>
    </row>
    <row r="13" spans="1:4">
      <c r="B13" s="8"/>
    </row>
    <row r="14" spans="1:4">
      <c r="A14" s="12">
        <v>1</v>
      </c>
      <c r="B14" s="61">
        <v>20</v>
      </c>
      <c r="C14" s="46">
        <v>44422.901331018518</v>
      </c>
      <c r="D14" s="46">
        <v>44422.901539351849</v>
      </c>
    </row>
    <row r="15" spans="1:4">
      <c r="A15" s="12">
        <v>2</v>
      </c>
      <c r="B15" s="61">
        <v>20</v>
      </c>
      <c r="C15" s="46">
        <v>44422.901921296296</v>
      </c>
      <c r="D15" s="46">
        <v>44422.902106481481</v>
      </c>
    </row>
    <row r="16" spans="1:4">
      <c r="A16" s="12">
        <v>3</v>
      </c>
      <c r="B16" s="8"/>
    </row>
    <row r="17" spans="1:2">
      <c r="A17" s="12">
        <v>4</v>
      </c>
      <c r="B17" s="8"/>
    </row>
    <row r="18" spans="1:2">
      <c r="A18" s="12">
        <v>5</v>
      </c>
      <c r="B18" s="8"/>
    </row>
    <row r="19" spans="1:2">
      <c r="A19" s="12">
        <v>6</v>
      </c>
    </row>
    <row r="20" spans="1:2">
      <c r="A20" s="12">
        <v>7</v>
      </c>
    </row>
    <row r="21" spans="1:2">
      <c r="A21" s="12">
        <v>8</v>
      </c>
    </row>
    <row r="22" spans="1:2">
      <c r="A22" s="12">
        <v>9</v>
      </c>
    </row>
    <row r="23" spans="1:2">
      <c r="A23" s="12">
        <v>10</v>
      </c>
    </row>
    <row r="24" spans="1:2">
      <c r="A24" s="12">
        <v>11</v>
      </c>
    </row>
    <row r="25" spans="1:2">
      <c r="A25" s="12">
        <v>12</v>
      </c>
    </row>
    <row r="26" spans="1:2">
      <c r="A26" s="12">
        <v>13</v>
      </c>
    </row>
    <row r="27" spans="1:2">
      <c r="A27" s="12">
        <v>14</v>
      </c>
    </row>
    <row r="28" spans="1:2">
      <c r="A28" s="12">
        <v>15</v>
      </c>
    </row>
    <row r="29" spans="1:2">
      <c r="A29" s="12">
        <v>16</v>
      </c>
    </row>
    <row r="30" spans="1:2">
      <c r="A30" s="12">
        <v>17</v>
      </c>
    </row>
    <row r="31" spans="1:2">
      <c r="A31" s="12">
        <v>18</v>
      </c>
    </row>
    <row r="32" spans="1:2">
      <c r="A32" s="12">
        <v>19</v>
      </c>
    </row>
    <row r="33" spans="1:5">
      <c r="A33" s="12">
        <v>20</v>
      </c>
    </row>
    <row r="34" spans="1:5">
      <c r="A34" s="12">
        <v>21</v>
      </c>
    </row>
    <row r="35" spans="1:5">
      <c r="A35" s="12">
        <v>22</v>
      </c>
      <c r="E35" s="16"/>
    </row>
    <row r="36" spans="1:5">
      <c r="A36" s="12">
        <v>23</v>
      </c>
    </row>
    <row r="37" spans="1:5">
      <c r="A37" s="12">
        <v>24</v>
      </c>
    </row>
    <row r="38" spans="1:5">
      <c r="A38" s="12">
        <v>25</v>
      </c>
    </row>
    <row r="39" spans="1:5">
      <c r="A39" s="12">
        <v>26</v>
      </c>
    </row>
    <row r="40" spans="1:5">
      <c r="A40" s="12">
        <v>27</v>
      </c>
    </row>
    <row r="41" spans="1:5">
      <c r="A41" s="12">
        <v>28</v>
      </c>
    </row>
    <row r="42" spans="1:5">
      <c r="A42" s="12">
        <v>29</v>
      </c>
    </row>
    <row r="43" spans="1:5">
      <c r="A43" s="12">
        <v>30</v>
      </c>
    </row>
    <row r="44" spans="1:5">
      <c r="A44" s="12">
        <v>31</v>
      </c>
    </row>
    <row r="45" spans="1:5">
      <c r="A45" s="12">
        <v>32</v>
      </c>
    </row>
    <row r="46" spans="1:5">
      <c r="A46" s="12">
        <v>33</v>
      </c>
    </row>
    <row r="47" spans="1:5">
      <c r="A47" s="12">
        <v>34</v>
      </c>
    </row>
    <row r="48" spans="1:5">
      <c r="A48" s="12">
        <v>35</v>
      </c>
    </row>
    <row r="49" spans="1:1">
      <c r="A49" s="12">
        <v>36</v>
      </c>
    </row>
    <row r="50" spans="1:1">
      <c r="A50" s="12">
        <v>37</v>
      </c>
    </row>
    <row r="51" spans="1:1">
      <c r="A51" s="12">
        <v>38</v>
      </c>
    </row>
    <row r="52" spans="1:1">
      <c r="A52" s="12">
        <v>39</v>
      </c>
    </row>
    <row r="53" spans="1:1">
      <c r="A53" s="12">
        <v>40</v>
      </c>
    </row>
    <row r="54" spans="1:1">
      <c r="A54" s="12">
        <v>41</v>
      </c>
    </row>
    <row r="55" spans="1:1">
      <c r="A55" s="12">
        <v>42</v>
      </c>
    </row>
    <row r="56" spans="1:1">
      <c r="A56" s="12">
        <v>43</v>
      </c>
    </row>
    <row r="57" spans="1:1">
      <c r="A57" s="12">
        <v>44</v>
      </c>
    </row>
    <row r="58" spans="1:1">
      <c r="A58" s="12">
        <v>45</v>
      </c>
    </row>
    <row r="59" spans="1:1">
      <c r="A59" s="12">
        <v>46</v>
      </c>
    </row>
    <row r="60" spans="1:1">
      <c r="A60" s="12">
        <v>47</v>
      </c>
    </row>
    <row r="61" spans="1:1">
      <c r="A61" s="12">
        <v>48</v>
      </c>
    </row>
    <row r="62" spans="1:1">
      <c r="A62" s="12">
        <v>49</v>
      </c>
    </row>
    <row r="63" spans="1:1">
      <c r="A63" s="12">
        <v>50</v>
      </c>
    </row>
    <row r="64" spans="1:1">
      <c r="A64" s="12">
        <v>51</v>
      </c>
    </row>
    <row r="65" spans="1:1">
      <c r="A65" s="12">
        <v>52</v>
      </c>
    </row>
    <row r="66" spans="1:1">
      <c r="A66" s="12">
        <v>53</v>
      </c>
    </row>
    <row r="67" spans="1:1">
      <c r="A67" s="12">
        <v>54</v>
      </c>
    </row>
    <row r="68" spans="1:1">
      <c r="A68" s="12">
        <v>55</v>
      </c>
    </row>
    <row r="69" spans="1:1">
      <c r="A69" s="12">
        <v>56</v>
      </c>
    </row>
    <row r="70" spans="1:1">
      <c r="A70" s="12">
        <v>57</v>
      </c>
    </row>
    <row r="71" spans="1:1">
      <c r="A71" s="12">
        <v>58</v>
      </c>
    </row>
    <row r="72" spans="1:1">
      <c r="A72" s="12">
        <v>59</v>
      </c>
    </row>
    <row r="73" spans="1:1">
      <c r="A73" s="12">
        <v>60</v>
      </c>
    </row>
    <row r="74" spans="1:1">
      <c r="A74" s="12">
        <v>61</v>
      </c>
    </row>
    <row r="75" spans="1:1">
      <c r="A75" s="12">
        <v>62</v>
      </c>
    </row>
    <row r="76" spans="1:1">
      <c r="A76" s="12">
        <v>63</v>
      </c>
    </row>
    <row r="77" spans="1:1">
      <c r="A77" s="12">
        <v>64</v>
      </c>
    </row>
    <row r="78" spans="1:1">
      <c r="A78" s="12">
        <v>65</v>
      </c>
    </row>
    <row r="79" spans="1:1">
      <c r="A79" s="12">
        <v>66</v>
      </c>
    </row>
    <row r="80" spans="1:1">
      <c r="A80" s="12">
        <v>67</v>
      </c>
    </row>
    <row r="81" spans="1:1">
      <c r="A81" s="12">
        <v>68</v>
      </c>
    </row>
    <row r="82" spans="1:1">
      <c r="A82" s="12">
        <v>69</v>
      </c>
    </row>
    <row r="83" spans="1:1">
      <c r="A83" s="12">
        <v>70</v>
      </c>
    </row>
    <row r="84" spans="1:1">
      <c r="A84" s="12">
        <v>71</v>
      </c>
    </row>
    <row r="85" spans="1:1">
      <c r="A85" s="12">
        <v>72</v>
      </c>
    </row>
    <row r="86" spans="1:1">
      <c r="A86" s="12">
        <v>73</v>
      </c>
    </row>
    <row r="87" spans="1:1">
      <c r="A87" s="12">
        <v>74</v>
      </c>
    </row>
    <row r="88" spans="1:1">
      <c r="A88" s="12">
        <v>75</v>
      </c>
    </row>
    <row r="89" spans="1:1">
      <c r="A89" s="12">
        <v>76</v>
      </c>
    </row>
    <row r="90" spans="1:1">
      <c r="A90" s="12">
        <v>77</v>
      </c>
    </row>
    <row r="91" spans="1:1">
      <c r="A91" s="12">
        <v>78</v>
      </c>
    </row>
    <row r="92" spans="1:1">
      <c r="A92" s="12">
        <v>79</v>
      </c>
    </row>
    <row r="93" spans="1:1">
      <c r="A93" s="12">
        <v>80</v>
      </c>
    </row>
    <row r="94" spans="1:1">
      <c r="A94" s="12">
        <v>81</v>
      </c>
    </row>
    <row r="95" spans="1:1">
      <c r="A95" s="12">
        <v>82</v>
      </c>
    </row>
    <row r="96" spans="1:1">
      <c r="A96" s="12">
        <v>83</v>
      </c>
    </row>
    <row r="97" spans="1:1">
      <c r="A97" s="12">
        <v>84</v>
      </c>
    </row>
    <row r="98" spans="1:1">
      <c r="A98" s="12">
        <v>85</v>
      </c>
    </row>
    <row r="99" spans="1:1">
      <c r="A99" s="12">
        <v>86</v>
      </c>
    </row>
    <row r="100" spans="1:1">
      <c r="A100" s="12">
        <v>87</v>
      </c>
    </row>
    <row r="101" spans="1:1">
      <c r="A101" s="12">
        <v>88</v>
      </c>
    </row>
    <row r="102" spans="1:1">
      <c r="A102" s="12">
        <v>89</v>
      </c>
    </row>
    <row r="103" spans="1:1">
      <c r="A103" s="12">
        <v>90</v>
      </c>
    </row>
    <row r="104" spans="1:1">
      <c r="A104" s="12">
        <v>91</v>
      </c>
    </row>
    <row r="105" spans="1:1">
      <c r="A105" s="12">
        <v>92</v>
      </c>
    </row>
    <row r="106" spans="1:1">
      <c r="A106" s="12">
        <v>93</v>
      </c>
    </row>
    <row r="107" spans="1:1">
      <c r="A107" s="12">
        <v>94</v>
      </c>
    </row>
    <row r="108" spans="1:1">
      <c r="A108" s="12">
        <v>95</v>
      </c>
    </row>
    <row r="109" spans="1:1">
      <c r="A109" s="12">
        <v>96</v>
      </c>
    </row>
    <row r="110" spans="1:1">
      <c r="A110" s="12">
        <v>97</v>
      </c>
    </row>
    <row r="111" spans="1:1">
      <c r="A111" s="12">
        <v>98</v>
      </c>
    </row>
    <row r="112" spans="1:1">
      <c r="A112" s="12">
        <v>99</v>
      </c>
    </row>
    <row r="113" spans="1:1">
      <c r="A113" s="12">
        <v>100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2:C109"/>
  <sheetViews>
    <sheetView workbookViewId="0">
      <selection activeCell="I43" sqref="I43"/>
    </sheetView>
  </sheetViews>
  <sheetFormatPr defaultColWidth="11" defaultRowHeight="15.75"/>
  <cols>
    <col min="1" max="1" width="43.125" customWidth="1"/>
    <col min="2" max="2" width="27.5" style="16" customWidth="1"/>
    <col min="3" max="3" width="32.125" style="16" customWidth="1"/>
  </cols>
  <sheetData>
    <row r="2" spans="1:3">
      <c r="A2" t="s">
        <v>85</v>
      </c>
    </row>
    <row r="4" spans="1:3">
      <c r="A4" s="9" t="s">
        <v>67</v>
      </c>
    </row>
    <row r="6" spans="1:3">
      <c r="A6" s="1" t="s">
        <v>119</v>
      </c>
    </row>
    <row r="9" spans="1:3">
      <c r="A9" s="12" t="s">
        <v>118</v>
      </c>
      <c r="B9" s="21" t="s">
        <v>16</v>
      </c>
      <c r="C9" s="21" t="s">
        <v>17</v>
      </c>
    </row>
    <row r="10" spans="1:3">
      <c r="A10" s="12">
        <v>1</v>
      </c>
      <c r="B10" s="21">
        <v>0.54237268518518522</v>
      </c>
      <c r="C10" s="21">
        <v>0.54253472222222221</v>
      </c>
    </row>
    <row r="11" spans="1:3">
      <c r="A11" s="12">
        <v>2</v>
      </c>
      <c r="B11" s="21">
        <v>0.54377314814814814</v>
      </c>
      <c r="C11" s="21">
        <v>0.54415509259259254</v>
      </c>
    </row>
    <row r="12" spans="1:3">
      <c r="A12" s="12">
        <v>3</v>
      </c>
    </row>
    <row r="13" spans="1:3">
      <c r="A13" s="12">
        <v>4</v>
      </c>
    </row>
    <row r="14" spans="1:3">
      <c r="A14" s="12">
        <v>5</v>
      </c>
    </row>
    <row r="15" spans="1:3">
      <c r="A15" s="12">
        <v>6</v>
      </c>
    </row>
    <row r="16" spans="1:3">
      <c r="A16" s="12">
        <v>7</v>
      </c>
    </row>
    <row r="17" spans="1:1">
      <c r="A17" s="12">
        <v>8</v>
      </c>
    </row>
    <row r="18" spans="1:1">
      <c r="A18" s="12">
        <v>9</v>
      </c>
    </row>
    <row r="19" spans="1:1">
      <c r="A19" s="12">
        <v>10</v>
      </c>
    </row>
    <row r="20" spans="1:1">
      <c r="A20" s="12">
        <v>11</v>
      </c>
    </row>
    <row r="21" spans="1:1">
      <c r="A21" s="12">
        <v>12</v>
      </c>
    </row>
    <row r="22" spans="1:1">
      <c r="A22" s="12">
        <v>13</v>
      </c>
    </row>
    <row r="23" spans="1:1">
      <c r="A23" s="12">
        <v>14</v>
      </c>
    </row>
    <row r="24" spans="1:1">
      <c r="A24" s="12">
        <v>15</v>
      </c>
    </row>
    <row r="25" spans="1:1">
      <c r="A25" s="12">
        <v>16</v>
      </c>
    </row>
    <row r="26" spans="1:1">
      <c r="A26" s="12">
        <v>17</v>
      </c>
    </row>
    <row r="27" spans="1:1">
      <c r="A27" s="12">
        <v>18</v>
      </c>
    </row>
    <row r="28" spans="1:1">
      <c r="A28" s="12">
        <v>19</v>
      </c>
    </row>
    <row r="29" spans="1:1">
      <c r="A29" s="12">
        <v>20</v>
      </c>
    </row>
    <row r="30" spans="1:1">
      <c r="A30" s="12">
        <v>21</v>
      </c>
    </row>
    <row r="31" spans="1:1">
      <c r="A31" s="12">
        <v>22</v>
      </c>
    </row>
    <row r="32" spans="1:1">
      <c r="A32" s="12">
        <v>23</v>
      </c>
    </row>
    <row r="33" spans="1:1">
      <c r="A33" s="12">
        <v>24</v>
      </c>
    </row>
    <row r="34" spans="1:1">
      <c r="A34" s="12">
        <v>25</v>
      </c>
    </row>
    <row r="35" spans="1:1">
      <c r="A35" s="12">
        <v>26</v>
      </c>
    </row>
    <row r="36" spans="1:1">
      <c r="A36" s="12">
        <v>27</v>
      </c>
    </row>
    <row r="37" spans="1:1">
      <c r="A37" s="12">
        <v>28</v>
      </c>
    </row>
    <row r="38" spans="1:1">
      <c r="A38" s="12">
        <v>29</v>
      </c>
    </row>
    <row r="39" spans="1:1">
      <c r="A39" s="12">
        <v>30</v>
      </c>
    </row>
    <row r="40" spans="1:1">
      <c r="A40" s="12">
        <v>31</v>
      </c>
    </row>
    <row r="41" spans="1:1">
      <c r="A41" s="12">
        <v>32</v>
      </c>
    </row>
    <row r="42" spans="1:1">
      <c r="A42" s="12">
        <v>33</v>
      </c>
    </row>
    <row r="43" spans="1:1">
      <c r="A43" s="12">
        <v>34</v>
      </c>
    </row>
    <row r="44" spans="1:1">
      <c r="A44" s="12">
        <v>35</v>
      </c>
    </row>
    <row r="45" spans="1:1">
      <c r="A45" s="12">
        <v>36</v>
      </c>
    </row>
    <row r="46" spans="1:1">
      <c r="A46" s="12">
        <v>37</v>
      </c>
    </row>
    <row r="47" spans="1:1">
      <c r="A47" s="12">
        <v>38</v>
      </c>
    </row>
    <row r="48" spans="1:1">
      <c r="A48" s="12">
        <v>39</v>
      </c>
    </row>
    <row r="49" spans="1:1">
      <c r="A49" s="12">
        <v>40</v>
      </c>
    </row>
    <row r="50" spans="1:1">
      <c r="A50" s="12">
        <v>41</v>
      </c>
    </row>
    <row r="51" spans="1:1">
      <c r="A51" s="12">
        <v>42</v>
      </c>
    </row>
    <row r="52" spans="1:1">
      <c r="A52" s="12">
        <v>43</v>
      </c>
    </row>
    <row r="53" spans="1:1">
      <c r="A53" s="12">
        <v>44</v>
      </c>
    </row>
    <row r="54" spans="1:1">
      <c r="A54" s="12">
        <v>45</v>
      </c>
    </row>
    <row r="55" spans="1:1">
      <c r="A55" s="12">
        <v>46</v>
      </c>
    </row>
    <row r="56" spans="1:1">
      <c r="A56" s="12">
        <v>47</v>
      </c>
    </row>
    <row r="57" spans="1:1">
      <c r="A57" s="12">
        <v>48</v>
      </c>
    </row>
    <row r="58" spans="1:1">
      <c r="A58" s="12">
        <v>49</v>
      </c>
    </row>
    <row r="59" spans="1:1">
      <c r="A59" s="12">
        <v>50</v>
      </c>
    </row>
    <row r="60" spans="1:1">
      <c r="A60" s="12">
        <v>51</v>
      </c>
    </row>
    <row r="61" spans="1:1">
      <c r="A61" s="12">
        <v>52</v>
      </c>
    </row>
    <row r="62" spans="1:1">
      <c r="A62" s="12">
        <v>53</v>
      </c>
    </row>
    <row r="63" spans="1:1">
      <c r="A63" s="12">
        <v>54</v>
      </c>
    </row>
    <row r="64" spans="1:1">
      <c r="A64" s="12">
        <v>55</v>
      </c>
    </row>
    <row r="65" spans="1:1">
      <c r="A65" s="12">
        <v>56</v>
      </c>
    </row>
    <row r="66" spans="1:1">
      <c r="A66" s="12">
        <v>57</v>
      </c>
    </row>
    <row r="67" spans="1:1">
      <c r="A67" s="12">
        <v>58</v>
      </c>
    </row>
    <row r="68" spans="1:1">
      <c r="A68" s="12">
        <v>59</v>
      </c>
    </row>
    <row r="69" spans="1:1">
      <c r="A69" s="12">
        <v>60</v>
      </c>
    </row>
    <row r="70" spans="1:1">
      <c r="A70" s="12">
        <v>61</v>
      </c>
    </row>
    <row r="71" spans="1:1">
      <c r="A71" s="12">
        <v>62</v>
      </c>
    </row>
    <row r="72" spans="1:1">
      <c r="A72" s="12">
        <v>63</v>
      </c>
    </row>
    <row r="73" spans="1:1">
      <c r="A73" s="12">
        <v>64</v>
      </c>
    </row>
    <row r="74" spans="1:1">
      <c r="A74" s="12">
        <v>65</v>
      </c>
    </row>
    <row r="75" spans="1:1">
      <c r="A75" s="12">
        <v>66</v>
      </c>
    </row>
    <row r="76" spans="1:1">
      <c r="A76" s="12">
        <v>67</v>
      </c>
    </row>
    <row r="77" spans="1:1">
      <c r="A77" s="12">
        <v>68</v>
      </c>
    </row>
    <row r="78" spans="1:1">
      <c r="A78" s="12">
        <v>69</v>
      </c>
    </row>
    <row r="79" spans="1:1">
      <c r="A79" s="12">
        <v>70</v>
      </c>
    </row>
    <row r="80" spans="1:1">
      <c r="A80" s="12">
        <v>71</v>
      </c>
    </row>
    <row r="81" spans="1:1">
      <c r="A81" s="12">
        <v>72</v>
      </c>
    </row>
    <row r="82" spans="1:1">
      <c r="A82" s="12">
        <v>73</v>
      </c>
    </row>
    <row r="83" spans="1:1">
      <c r="A83" s="12">
        <v>74</v>
      </c>
    </row>
    <row r="84" spans="1:1">
      <c r="A84" s="12">
        <v>75</v>
      </c>
    </row>
    <row r="85" spans="1:1">
      <c r="A85" s="12">
        <v>76</v>
      </c>
    </row>
    <row r="86" spans="1:1">
      <c r="A86" s="12">
        <v>77</v>
      </c>
    </row>
    <row r="87" spans="1:1">
      <c r="A87" s="12">
        <v>78</v>
      </c>
    </row>
    <row r="88" spans="1:1">
      <c r="A88" s="12">
        <v>79</v>
      </c>
    </row>
    <row r="89" spans="1:1">
      <c r="A89" s="12">
        <v>80</v>
      </c>
    </row>
    <row r="90" spans="1:1">
      <c r="A90" s="12">
        <v>81</v>
      </c>
    </row>
    <row r="91" spans="1:1">
      <c r="A91" s="12">
        <v>82</v>
      </c>
    </row>
    <row r="92" spans="1:1">
      <c r="A92" s="12">
        <v>83</v>
      </c>
    </row>
    <row r="93" spans="1:1">
      <c r="A93" s="12">
        <v>84</v>
      </c>
    </row>
    <row r="94" spans="1:1">
      <c r="A94" s="12">
        <v>85</v>
      </c>
    </row>
    <row r="95" spans="1:1">
      <c r="A95" s="12">
        <v>86</v>
      </c>
    </row>
    <row r="96" spans="1:1">
      <c r="A96" s="12">
        <v>87</v>
      </c>
    </row>
    <row r="97" spans="1:1">
      <c r="A97" s="12">
        <v>88</v>
      </c>
    </row>
    <row r="98" spans="1:1">
      <c r="A98" s="12">
        <v>89</v>
      </c>
    </row>
    <row r="99" spans="1:1">
      <c r="A99" s="12">
        <v>90</v>
      </c>
    </row>
    <row r="100" spans="1:1">
      <c r="A100" s="12">
        <v>91</v>
      </c>
    </row>
    <row r="101" spans="1:1">
      <c r="A101" s="12">
        <v>92</v>
      </c>
    </row>
    <row r="102" spans="1:1">
      <c r="A102" s="12">
        <v>93</v>
      </c>
    </row>
    <row r="103" spans="1:1">
      <c r="A103" s="12">
        <v>94</v>
      </c>
    </row>
    <row r="104" spans="1:1">
      <c r="A104" s="12">
        <v>95</v>
      </c>
    </row>
    <row r="105" spans="1:1">
      <c r="A105" s="12">
        <v>96</v>
      </c>
    </row>
    <row r="106" spans="1:1">
      <c r="A106" s="12">
        <v>97</v>
      </c>
    </row>
    <row r="107" spans="1:1">
      <c r="A107" s="12">
        <v>98</v>
      </c>
    </row>
    <row r="108" spans="1:1">
      <c r="A108" s="12">
        <v>99</v>
      </c>
    </row>
    <row r="109" spans="1:1">
      <c r="A109" s="12">
        <v>100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Customer demand (all the time)</vt:lpstr>
      <vt:lpstr>Toilet visit</vt:lpstr>
      <vt:lpstr>Toilet visit-Backup</vt:lpstr>
      <vt:lpstr>Staff table visit (Staff)</vt:lpstr>
      <vt:lpstr>Routing info</vt:lpstr>
      <vt:lpstr>Data collection for Restaurant</vt:lpstr>
      <vt:lpstr>Cashier (Guest)-N.A.</vt:lpstr>
      <vt:lpstr>Coat rack (Guest)-N.A.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Yufei Yuan</dc:creator>
  <cp:lastModifiedBy>Martijn Sparnaaij - CITG</cp:lastModifiedBy>
  <cp:lastPrinted>2020-11-21T00:28:23Z</cp:lastPrinted>
  <dcterms:created xsi:type="dcterms:W3CDTF">2020-11-20T15:24:29Z</dcterms:created>
  <dcterms:modified xsi:type="dcterms:W3CDTF">2021-12-02T10:50:31Z</dcterms:modified>
</cp:coreProperties>
</file>